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Equipos" sheetId="2" state="visible" r:id="rId4"/>
    <sheet name="Partidos" sheetId="3" state="visible" r:id="rId5"/>
    <sheet name="Detalle" sheetId="4" state="hidden" r:id="rId6"/>
    <sheet name="Posicion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<sst xmlns="http://schemas.openxmlformats.org/spreadsheetml/2006/main" count="62" uniqueCount="40">
  <si>
    <t xml:space="preserve">Cómo usar esta plantilla</t>
  </si>
  <si>
    <t xml:space="preserve">1. Equipos</t>
  </si>
  <si>
    <t xml:space="preserve">Escribe el nombre de cada equipo inscrito en la hoja "Equipos", columna A. Borra la fila de ejemplo cuando tengas tus equipos reales.</t>
  </si>
  <si>
    <t xml:space="preserve">2. Partidos</t>
  </si>
  <si>
    <t xml:space="preserve">Cada vez que se juegue un partido, agrega una fila en la hoja "Partidos": fecha, jornada, equipo local, goles del local, equipo visitante, goles del visitante.</t>
  </si>
  <si>
    <t xml:space="preserve">3. Posiciones</t>
  </si>
  <si>
    <t xml:space="preserve">No toques nada aquí: la hoja "Posiciones" se recalcula y se ordena sola (PJ, PG, PE, PP, GF, GC, diferencia de gol y puntos) apenas registras un partido. La tabla ya sale ordenada de 1° a último — nunca uses Datos &gt; Ordenar rango sobre ella, porque puede desordenar las fórmulas.</t>
  </si>
  <si>
    <t xml:space="preserve">4. Desempates</t>
  </si>
  <si>
    <t xml:space="preserve">El orden se calcula por Puntos, luego Diferencia de gol, luego Goles a favor. Si dos equipos quedan exactamente iguales en todo, se ordenan por el orden en que los escribiste en la hoja Equipos.</t>
  </si>
  <si>
    <t xml:space="preserve">5. Hoja Detalle</t>
  </si>
  <si>
    <t xml:space="preserve">Es un cálculo interno que separa cada partido en dos filas (una por equipo). No la edites, pero no la borres: de ahí toma los datos la hoja Posiciones.</t>
  </si>
  <si>
    <t xml:space="preserve">Para usarla en Google Sheets: sube este archivo .xlsx a Google Drive y ábrelo — Sheets lo convierte automáticamente y las fórmulas siguen funcionando igual.</t>
  </si>
  <si>
    <t xml:space="preserve">Equipo</t>
  </si>
  <si>
    <t xml:space="preserve">X-GRAPHICS</t>
  </si>
  <si>
    <t xml:space="preserve">GRAFICAJAS</t>
  </si>
  <si>
    <t xml:space="preserve">ADH</t>
  </si>
  <si>
    <t xml:space="preserve">LEONARD</t>
  </si>
  <si>
    <t xml:space="preserve">MACULA DEL MAL</t>
  </si>
  <si>
    <t xml:space="preserve">MULTIAVISOS DE LA 12</t>
  </si>
  <si>
    <t xml:space="preserve">Fecha</t>
  </si>
  <si>
    <t xml:space="preserve">Jornada</t>
  </si>
  <si>
    <t xml:space="preserve">Equipo Local</t>
  </si>
  <si>
    <t xml:space="preserve">Goles Local</t>
  </si>
  <si>
    <t xml:space="preserve">Equipo Visitante</t>
  </si>
  <si>
    <t xml:space="preserve">Goles Visitante</t>
  </si>
  <si>
    <t xml:space="preserve">2026-08-15</t>
  </si>
  <si>
    <t xml:space="preserve">GF</t>
  </si>
  <si>
    <t xml:space="preserve">GC</t>
  </si>
  <si>
    <t xml:space="preserve">Resultado</t>
  </si>
  <si>
    <t xml:space="preserve">Puntos</t>
  </si>
  <si>
    <t xml:space="preserve">PJ</t>
  </si>
  <si>
    <t xml:space="preserve">PG</t>
  </si>
  <si>
    <t xml:space="preserve">PE</t>
  </si>
  <si>
    <t xml:space="preserve">PP</t>
  </si>
  <si>
    <t xml:space="preserve">DG</t>
  </si>
  <si>
    <t xml:space="preserve">PTS</t>
  </si>
  <si>
    <t xml:space="preserve">Orden</t>
  </si>
  <si>
    <t xml:space="preserve">OrdenÚnico</t>
  </si>
  <si>
    <t xml:space="preserve">Pos</t>
  </si>
  <si>
    <t xml:space="preserve">Esta tabla se ordena sola. No uses Datos &gt; Ordenar rango aquí — con fórmulas dentro, ordenar manualmente puede desordenar los datos.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</si>
</sst>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3B2E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1"/>
      <color rgb="FFEAF0E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3B2E"/>
        <bgColor rgb="FF003366"/>
      </patternFill>
    </fill>
    <fill>
      <patternFill patternType="solid">
        <fgColor rgb="FFF5C518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AF0E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5C518"/>
      <rgbColor rgb="FFFF9900"/>
      <rgbColor rgb="FFFF6600"/>
      <rgbColor rgb="FF666699"/>
      <rgbColor rgb="FF969696"/>
      <rgbColor rgb="FF003366"/>
      <rgbColor rgb="FF339966"/>
      <rgbColor rgb="FF0B3B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4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30" hidden="false" customHeight="true" outlineLevel="0" collapsed="false">
      <c r="A4" s="3" t="s">
        <v>2</v>
      </c>
      <c r="B4" s="3"/>
      <c r="C4" s="3"/>
      <c r="D4" s="3"/>
      <c r="E4" s="3"/>
      <c r="F4" s="3"/>
    </row>
    <row r="6" customFormat="false" ht="15" hidden="false" customHeight="false" outlineLevel="0" collapsed="false">
      <c r="A6" s="2" t="s">
        <v>3</v>
      </c>
    </row>
    <row r="7" customFormat="false" ht="30" hidden="false" customHeight="true" outlineLevel="0" collapsed="false">
      <c r="A7" s="3" t="s">
        <v>4</v>
      </c>
      <c r="B7" s="3"/>
      <c r="C7" s="3"/>
      <c r="D7" s="3"/>
      <c r="E7" s="3"/>
      <c r="F7" s="3"/>
    </row>
    <row r="9" customFormat="false" ht="15" hidden="false" customHeight="false" outlineLevel="0" collapsed="false">
      <c r="A9" s="2" t="s">
        <v>5</v>
      </c>
    </row>
    <row r="10" customFormat="false" ht="30" hidden="false" customHeight="true" outlineLevel="0" collapsed="false">
      <c r="A10" s="3" t="s">
        <v>6</v>
      </c>
      <c r="B10" s="3"/>
      <c r="C10" s="3"/>
      <c r="D10" s="3"/>
      <c r="E10" s="3"/>
      <c r="F10" s="3"/>
    </row>
    <row r="12" customFormat="false" ht="15" hidden="false" customHeight="false" outlineLevel="0" collapsed="false">
      <c r="A12" s="2" t="s">
        <v>7</v>
      </c>
    </row>
    <row r="13" customFormat="false" ht="30" hidden="false" customHeight="true" outlineLevel="0" collapsed="false">
      <c r="A13" s="3" t="s">
        <v>8</v>
      </c>
      <c r="B13" s="3"/>
      <c r="C13" s="3"/>
      <c r="D13" s="3"/>
      <c r="E13" s="3"/>
      <c r="F13" s="3"/>
    </row>
    <row r="15" customFormat="false" ht="15" hidden="false" customHeight="false" outlineLevel="0" collapsed="false">
      <c r="A15" s="2" t="s">
        <v>9</v>
      </c>
    </row>
    <row r="16" customFormat="false" ht="30" hidden="false" customHeight="true" outlineLevel="0" collapsed="false">
      <c r="A16" s="3" t="s">
        <v>10</v>
      </c>
      <c r="B16" s="3"/>
      <c r="C16" s="3"/>
      <c r="D16" s="3"/>
      <c r="E16" s="3"/>
      <c r="F16" s="3"/>
    </row>
    <row r="19" customFormat="false" ht="15" hidden="false" customHeight="false" outlineLevel="0" collapsed="false">
      <c r="A19" s="4" t="s">
        <v>11</v>
      </c>
      <c r="B19" s="4"/>
      <c r="C19" s="4"/>
      <c r="D19" s="4"/>
      <c r="E19" s="4"/>
      <c r="F19" s="4"/>
    </row>
  </sheetData>
  <mergeCells count="6">
    <mergeCell ref="A4:F4"/>
    <mergeCell ref="A7:F7"/>
    <mergeCell ref="A10:F10"/>
    <mergeCell ref="A13:F13"/>
    <mergeCell ref="A16:F16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</cols>
  <sheetData>
    <row r="1" customFormat="false" ht="15" hidden="false" customHeight="false" outlineLevel="0" collapsed="false">
      <c r="A1" s="5" t="s">
        <v>12</v>
      </c>
    </row>
    <row r="2" customFormat="false" ht="15" hidden="false" customHeight="false" outlineLevel="0" collapsed="false">
      <c r="A2" s="6" t="s">
        <v>13</v>
      </c>
    </row>
    <row r="3" customFormat="false" ht="15" hidden="false" customHeight="false" outlineLevel="0" collapsed="false">
      <c r="A3" s="6" t="s">
        <v>14</v>
      </c>
    </row>
    <row r="4" customFormat="false" ht="15" hidden="false" customHeight="false" outlineLevel="0" collapsed="false">
      <c r="A4" s="6" t="s">
        <v>15</v>
      </c>
    </row>
    <row r="5" customFormat="false" ht="15" hidden="false" customHeight="false" outlineLevel="0" collapsed="false">
      <c r="A5" s="6" t="s">
        <v>16</v>
      </c>
    </row>
    <row r="6" customFormat="false" ht="15" hidden="false" customHeight="false" outlineLevel="0" collapsed="false">
      <c r="A6" s="6" t="s">
        <v>17</v>
      </c>
    </row>
    <row r="7" customFormat="false" ht="15" hidden="false" customHeight="false" outlineLevel="0" collapsed="false">
      <c r="A7" s="6" t="s">
        <v>18</v>
      </c>
    </row>
    <row r="8" customFormat="false" ht="15" hidden="false" customHeight="false" outlineLevel="0" collapsed="false">
      <c r="A8" s="6"/>
    </row>
    <row r="9" customFormat="false" ht="15" hidden="false" customHeight="false" outlineLevel="0" collapsed="false">
      <c r="A9" s="6"/>
    </row>
    <row r="10" customFormat="false" ht="15" hidden="false" customHeight="false" outlineLevel="0" collapsed="false">
      <c r="A10" s="6"/>
    </row>
    <row r="11" customFormat="false" ht="15" hidden="false" customHeight="false" outlineLevel="0" collapsed="false">
      <c r="A11" s="6"/>
    </row>
    <row r="12" customFormat="false" ht="15" hidden="false" customHeight="false" outlineLevel="0" collapsed="false">
      <c r="A12" s="6"/>
    </row>
    <row r="13" customFormat="false" ht="15" hidden="false" customHeight="false" outlineLevel="0" collapsed="false">
      <c r="A13" s="6"/>
    </row>
    <row r="14" customFormat="false" ht="15" hidden="false" customHeight="false" outlineLevel="0" collapsed="false">
      <c r="A14" s="6"/>
    </row>
    <row r="15" customFormat="false" ht="15" hidden="false" customHeight="false" outlineLevel="0" collapsed="false">
      <c r="A15" s="6"/>
    </row>
    <row r="16" customFormat="false" ht="15" hidden="false" customHeight="false" outlineLevel="0" collapsed="false">
      <c r="A16" s="6"/>
    </row>
    <row r="17" customFormat="false" ht="15" hidden="false" customHeight="false" outlineLevel="0" collapsed="false">
      <c r="A17" s="6"/>
    </row>
    <row r="18" customFormat="false" ht="15" hidden="false" customHeight="false" outlineLevel="0" collapsed="false">
      <c r="A18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</row>
    <row r="2" customFormat="false" ht="15" hidden="false" customHeight="false" outlineLevel="0" collapsed="false">
      <c r="A2" s="6" t="s">
        <v>25</v>
      </c>
      <c r="B2" s="6" t="n">
        <v>1</v>
      </c>
      <c r="C2" s="6" t="s">
        <v>16</v>
      </c>
      <c r="D2" s="6" t="n">
        <v>5</v>
      </c>
      <c r="E2" s="6" t="s">
        <v>14</v>
      </c>
      <c r="F2" s="6" t="n">
        <v>2</v>
      </c>
    </row>
    <row r="3" customFormat="false" ht="15" hidden="false" customHeight="false" outlineLevel="0" collapsed="false">
      <c r="A3" s="6" t="s">
        <v>25</v>
      </c>
      <c r="B3" s="6" t="n">
        <v>1</v>
      </c>
      <c r="C3" s="6" t="s">
        <v>17</v>
      </c>
      <c r="D3" s="6" t="n">
        <v>4</v>
      </c>
      <c r="E3" s="6" t="s">
        <v>18</v>
      </c>
      <c r="F3" s="6" t="n">
        <v>4</v>
      </c>
    </row>
    <row r="4" customFormat="false" ht="15" hidden="false" customHeight="false" outlineLevel="0" collapsed="false">
      <c r="A4" s="6" t="s">
        <v>25</v>
      </c>
      <c r="B4" s="6" t="n">
        <v>1</v>
      </c>
      <c r="C4" s="6" t="s">
        <v>15</v>
      </c>
      <c r="D4" s="6" t="n">
        <v>6</v>
      </c>
      <c r="E4" s="6" t="s">
        <v>13</v>
      </c>
      <c r="F4" s="6" t="n">
        <v>1</v>
      </c>
    </row>
    <row r="5" customFormat="false" ht="15" hidden="false" customHeight="false" outlineLevel="0" collapsed="false">
      <c r="A5" s="6"/>
      <c r="B5" s="6"/>
      <c r="C5" s="6"/>
      <c r="D5" s="6"/>
      <c r="E5" s="6"/>
      <c r="F5" s="6"/>
    </row>
    <row r="6" customFormat="false" ht="15" hidden="false" customHeight="false" outlineLevel="0" collapsed="false">
      <c r="A6" s="6"/>
      <c r="B6" s="6"/>
      <c r="C6" s="6"/>
      <c r="D6" s="6"/>
      <c r="E6" s="6"/>
      <c r="F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</row>
    <row r="60" customFormat="false" ht="15" hidden="false" customHeight="false" outlineLevel="0" collapsed="false">
      <c r="A60" s="6"/>
      <c r="B60" s="6"/>
      <c r="C60" s="6"/>
      <c r="D60" s="6"/>
      <c r="E60" s="6"/>
      <c r="F60" s="6"/>
    </row>
    <row r="61" customFormat="false" ht="15" hidden="false" customHeight="false" outlineLevel="0" collapsed="false">
      <c r="A61" s="6"/>
      <c r="B61" s="6"/>
      <c r="C61" s="6"/>
      <c r="D61" s="6"/>
      <c r="E61" s="6"/>
      <c r="F61" s="6"/>
    </row>
    <row r="62" customFormat="false" ht="15" hidden="false" customHeight="false" outlineLevel="0" collapsed="false">
      <c r="A62" s="6"/>
      <c r="B62" s="6"/>
      <c r="C62" s="6"/>
      <c r="D62" s="6"/>
      <c r="E62" s="6"/>
      <c r="F62" s="6"/>
    </row>
    <row r="63" customFormat="false" ht="15" hidden="false" customHeight="false" outlineLevel="0" collapsed="false">
      <c r="A63" s="6"/>
      <c r="B63" s="6"/>
      <c r="C63" s="6"/>
      <c r="D63" s="6"/>
      <c r="E63" s="6"/>
      <c r="F63" s="6"/>
    </row>
    <row r="64" customFormat="false" ht="15" hidden="false" customHeight="false" outlineLevel="0" collapsed="false">
      <c r="A64" s="6"/>
      <c r="B64" s="6"/>
      <c r="C64" s="6"/>
      <c r="D64" s="6"/>
      <c r="E64" s="6"/>
      <c r="F64" s="6"/>
    </row>
    <row r="65" customFormat="false" ht="15" hidden="false" customHeight="false" outlineLevel="0" collapsed="false">
      <c r="A65" s="6"/>
      <c r="B65" s="6"/>
      <c r="C65" s="6"/>
      <c r="D65" s="6"/>
      <c r="E65" s="6"/>
      <c r="F65" s="6"/>
    </row>
    <row r="66" customFormat="false" ht="15" hidden="false" customHeight="false" outlineLevel="0" collapsed="false">
      <c r="A66" s="6"/>
      <c r="B66" s="6"/>
      <c r="C66" s="6"/>
      <c r="D66" s="6"/>
      <c r="E66" s="6"/>
      <c r="F66" s="6"/>
    </row>
    <row r="67" customFormat="false" ht="15" hidden="false" customHeight="false" outlineLevel="0" collapsed="false">
      <c r="A67" s="6"/>
      <c r="B67" s="6"/>
      <c r="C67" s="6"/>
      <c r="D67" s="6"/>
      <c r="E67" s="6"/>
      <c r="F67" s="6"/>
    </row>
    <row r="68" customFormat="false" ht="15" hidden="false" customHeight="false" outlineLevel="0" collapsed="false">
      <c r="A68" s="6"/>
      <c r="B68" s="6"/>
      <c r="C68" s="6"/>
      <c r="D68" s="6"/>
      <c r="E68" s="6"/>
      <c r="F68" s="6"/>
    </row>
    <row r="69" customFormat="false" ht="15" hidden="false" customHeight="false" outlineLevel="0" collapsed="false">
      <c r="A69" s="6"/>
      <c r="B69" s="6"/>
      <c r="C69" s="6"/>
      <c r="D69" s="6"/>
      <c r="E69" s="6"/>
      <c r="F69" s="6"/>
    </row>
    <row r="70" customFormat="false" ht="15" hidden="false" customHeight="false" outlineLevel="0" collapsed="false">
      <c r="A70" s="6"/>
      <c r="B70" s="6"/>
      <c r="C70" s="6"/>
      <c r="D70" s="6"/>
      <c r="E70" s="6"/>
      <c r="F70" s="6"/>
    </row>
    <row r="71" customFormat="false" ht="15" hidden="false" customHeight="false" outlineLevel="0" collapsed="false">
      <c r="A71" s="6"/>
      <c r="B71" s="6"/>
      <c r="C71" s="6"/>
      <c r="D71" s="6"/>
      <c r="E71" s="6"/>
      <c r="F71" s="6"/>
    </row>
    <row r="72" customFormat="false" ht="15" hidden="false" customHeight="false" outlineLevel="0" collapsed="false">
      <c r="A72" s="6"/>
      <c r="B72" s="6"/>
      <c r="C72" s="6"/>
      <c r="D72" s="6"/>
      <c r="E72" s="6"/>
      <c r="F72" s="6"/>
    </row>
    <row r="73" customFormat="false" ht="15" hidden="false" customHeight="false" outlineLevel="0" collapsed="false">
      <c r="A73" s="6"/>
      <c r="B73" s="6"/>
      <c r="C73" s="6"/>
      <c r="D73" s="6"/>
      <c r="E73" s="6"/>
      <c r="F73" s="6"/>
    </row>
    <row r="74" customFormat="false" ht="15" hidden="false" customHeight="false" outlineLevel="0" collapsed="false">
      <c r="A74" s="6"/>
      <c r="B74" s="6"/>
      <c r="C74" s="6"/>
      <c r="D74" s="6"/>
      <c r="E74" s="6"/>
      <c r="F74" s="6"/>
    </row>
    <row r="75" customFormat="false" ht="15" hidden="false" customHeight="false" outlineLevel="0" collapsed="false">
      <c r="A75" s="6"/>
      <c r="B75" s="6"/>
      <c r="C75" s="6"/>
      <c r="D75" s="6"/>
      <c r="E75" s="6"/>
      <c r="F75" s="6"/>
    </row>
    <row r="76" customFormat="false" ht="15" hidden="false" customHeight="false" outlineLevel="0" collapsed="false">
      <c r="A76" s="6"/>
      <c r="B76" s="6"/>
      <c r="C76" s="6"/>
      <c r="D76" s="6"/>
      <c r="E76" s="6"/>
      <c r="F76" s="6"/>
    </row>
    <row r="77" customFormat="false" ht="15" hidden="false" customHeight="false" outlineLevel="0" collapsed="false">
      <c r="A77" s="6"/>
      <c r="B77" s="6"/>
      <c r="C77" s="6"/>
      <c r="D77" s="6"/>
      <c r="E77" s="6"/>
      <c r="F77" s="6"/>
    </row>
    <row r="78" customFormat="false" ht="15" hidden="false" customHeight="false" outlineLevel="0" collapsed="false">
      <c r="A78" s="6"/>
      <c r="B78" s="6"/>
      <c r="C78" s="6"/>
      <c r="D78" s="6"/>
      <c r="E78" s="6"/>
      <c r="F78" s="6"/>
    </row>
    <row r="79" customFormat="false" ht="15" hidden="false" customHeight="false" outlineLevel="0" collapsed="false">
      <c r="A79" s="6"/>
      <c r="B79" s="6"/>
      <c r="C79" s="6"/>
      <c r="D79" s="6"/>
      <c r="E79" s="6"/>
      <c r="F79" s="6"/>
    </row>
    <row r="80" customFormat="false" ht="15" hidden="false" customHeight="false" outlineLevel="0" collapsed="false">
      <c r="A80" s="6"/>
      <c r="B80" s="6"/>
      <c r="C80" s="6"/>
      <c r="D80" s="6"/>
      <c r="E80" s="6"/>
      <c r="F80" s="6"/>
    </row>
    <row r="81" customFormat="false" ht="15" hidden="false" customHeight="false" outlineLevel="0" collapsed="false">
      <c r="A81" s="6"/>
      <c r="B81" s="6"/>
      <c r="C81" s="6"/>
      <c r="D81" s="6"/>
      <c r="E81" s="6"/>
      <c r="F81" s="6"/>
    </row>
    <row r="82" customFormat="false" ht="15" hidden="false" customHeight="false" outlineLevel="0" collapsed="false">
      <c r="A82" s="6"/>
      <c r="B82" s="6"/>
      <c r="C82" s="6"/>
      <c r="D82" s="6"/>
      <c r="E82" s="6"/>
      <c r="F82" s="6"/>
    </row>
    <row r="83" customFormat="false" ht="15" hidden="false" customHeight="false" outlineLevel="0" collapsed="false">
      <c r="A83" s="6"/>
      <c r="B83" s="6"/>
      <c r="C83" s="6"/>
      <c r="D83" s="6"/>
      <c r="E83" s="6"/>
      <c r="F83" s="6"/>
    </row>
    <row r="84" customFormat="false" ht="15" hidden="false" customHeight="false" outlineLevel="0" collapsed="false">
      <c r="A84" s="6"/>
      <c r="B84" s="6"/>
      <c r="C84" s="6"/>
      <c r="D84" s="6"/>
      <c r="E84" s="6"/>
      <c r="F84" s="6"/>
    </row>
    <row r="85" customFormat="false" ht="15" hidden="false" customHeight="false" outlineLevel="0" collapsed="false">
      <c r="A85" s="6"/>
      <c r="B85" s="6"/>
      <c r="C85" s="6"/>
      <c r="D85" s="6"/>
      <c r="E85" s="6"/>
      <c r="F85" s="6"/>
    </row>
    <row r="86" customFormat="false" ht="15" hidden="false" customHeight="false" outlineLevel="0" collapsed="false">
      <c r="A86" s="6"/>
      <c r="B86" s="6"/>
      <c r="C86" s="6"/>
      <c r="D86" s="6"/>
      <c r="E86" s="6"/>
      <c r="F86" s="6"/>
    </row>
    <row r="87" customFormat="false" ht="15" hidden="false" customHeight="false" outlineLevel="0" collapsed="false">
      <c r="A87" s="6"/>
      <c r="B87" s="6"/>
      <c r="C87" s="6"/>
      <c r="D87" s="6"/>
      <c r="E87" s="6"/>
      <c r="F87" s="6"/>
    </row>
    <row r="88" customFormat="false" ht="15" hidden="false" customHeight="false" outlineLevel="0" collapsed="false">
      <c r="A88" s="6"/>
      <c r="B88" s="6"/>
      <c r="C88" s="6"/>
      <c r="D88" s="6"/>
      <c r="E88" s="6"/>
      <c r="F88" s="6"/>
    </row>
    <row r="89" customFormat="false" ht="15" hidden="false" customHeight="false" outlineLevel="0" collapsed="false">
      <c r="A89" s="6"/>
      <c r="B89" s="6"/>
      <c r="C89" s="6"/>
      <c r="D89" s="6"/>
      <c r="E89" s="6"/>
      <c r="F89" s="6"/>
    </row>
    <row r="90" customFormat="false" ht="15" hidden="false" customHeight="false" outlineLevel="0" collapsed="false">
      <c r="A90" s="6"/>
      <c r="B90" s="6"/>
      <c r="C90" s="6"/>
      <c r="D90" s="6"/>
      <c r="E90" s="6"/>
      <c r="F90" s="6"/>
    </row>
    <row r="91" customFormat="false" ht="15" hidden="false" customHeight="false" outlineLevel="0" collapsed="false">
      <c r="A91" s="6"/>
      <c r="B91" s="6"/>
      <c r="C91" s="6"/>
      <c r="D91" s="6"/>
      <c r="E91" s="6"/>
      <c r="F91" s="6"/>
    </row>
    <row r="92" customFormat="false" ht="15" hidden="false" customHeight="false" outlineLevel="0" collapsed="false">
      <c r="A92" s="6"/>
      <c r="B92" s="6"/>
      <c r="C92" s="6"/>
      <c r="D92" s="6"/>
      <c r="E92" s="6"/>
      <c r="F92" s="6"/>
    </row>
    <row r="93" customFormat="false" ht="15" hidden="false" customHeight="false" outlineLevel="0" collapsed="false">
      <c r="A93" s="6"/>
      <c r="B93" s="6"/>
      <c r="C93" s="6"/>
      <c r="D93" s="6"/>
      <c r="E93" s="6"/>
      <c r="F93" s="6"/>
    </row>
    <row r="94" customFormat="false" ht="15" hidden="false" customHeight="false" outlineLevel="0" collapsed="false">
      <c r="A94" s="6"/>
      <c r="B94" s="6"/>
      <c r="C94" s="6"/>
      <c r="D94" s="6"/>
      <c r="E94" s="6"/>
      <c r="F94" s="6"/>
    </row>
    <row r="95" customFormat="false" ht="15" hidden="false" customHeight="false" outlineLevel="0" collapsed="false">
      <c r="A95" s="6"/>
      <c r="B95" s="6"/>
      <c r="C95" s="6"/>
      <c r="D95" s="6"/>
      <c r="E95" s="6"/>
      <c r="F95" s="6"/>
    </row>
    <row r="96" customFormat="false" ht="15" hidden="false" customHeight="false" outlineLevel="0" collapsed="false">
      <c r="A96" s="6"/>
      <c r="B96" s="6"/>
      <c r="C96" s="6"/>
      <c r="D96" s="6"/>
      <c r="E96" s="6"/>
      <c r="F96" s="6"/>
    </row>
    <row r="97" customFormat="false" ht="15" hidden="false" customHeight="false" outlineLevel="0" collapsed="false">
      <c r="A97" s="6"/>
      <c r="B97" s="6"/>
      <c r="C97" s="6"/>
      <c r="D97" s="6"/>
      <c r="E97" s="6"/>
      <c r="F97" s="6"/>
    </row>
    <row r="98" customFormat="false" ht="15" hidden="false" customHeight="false" outlineLevel="0" collapsed="false">
      <c r="A98" s="6"/>
      <c r="B98" s="6"/>
      <c r="C98" s="6"/>
      <c r="D98" s="6"/>
      <c r="E98" s="6"/>
      <c r="F98" s="6"/>
    </row>
    <row r="99" customFormat="false" ht="15" hidden="false" customHeight="false" outlineLevel="0" collapsed="false">
      <c r="A99" s="6"/>
      <c r="B99" s="6"/>
      <c r="C99" s="6"/>
      <c r="D99" s="6"/>
      <c r="E99" s="6"/>
      <c r="F99" s="6"/>
    </row>
    <row r="100" customFormat="false" ht="15" hidden="false" customHeight="false" outlineLevel="0" collapsed="false">
      <c r="A100" s="6"/>
      <c r="B100" s="6"/>
      <c r="C100" s="6"/>
      <c r="D100" s="6"/>
      <c r="E100" s="6"/>
      <c r="F100" s="6"/>
    </row>
    <row r="101" customFormat="false" ht="15" hidden="false" customHeight="false" outlineLevel="0" collapsed="false">
      <c r="A101" s="6"/>
      <c r="B101" s="6"/>
      <c r="C101" s="6"/>
      <c r="D101" s="6"/>
      <c r="E101" s="6"/>
      <c r="F10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8"/>
    <col collapsed="false" customWidth="true" hidden="false" outlineLevel="0" max="4" min="4" style="0" width="12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5" t="s">
        <v>12</v>
      </c>
      <c r="B1" s="5" t="s">
        <v>26</v>
      </c>
      <c r="C1" s="5" t="s">
        <v>27</v>
      </c>
      <c r="D1" s="5" t="s">
        <v>28</v>
      </c>
      <c r="E1" s="5" t="s">
        <v>29</v>
      </c>
    </row>
    <row r="2" customFormat="false" ht="15" hidden="false" customHeight="false" outlineLevel="0" collapsed="false">
      <c r="A2" s="0" t="str">
        <f aca="false">IF(Partidos!C2="","",Partidos!C2)</f>
        <v>LEONARD</v>
      </c>
      <c r="B2" s="0" t="n">
        <f aca="false">IF(Partidos!C2="","",Partidos!D2)</f>
        <v>5</v>
      </c>
      <c r="C2" s="0" t="n">
        <f aca="false">IF(Partidos!C2="","",Partidos!F2)</f>
        <v>2</v>
      </c>
      <c r="D2" s="0" t="str">
        <f aca="false">IF(Partidos!C2="","",IF(Partidos!D2&gt;Partidos!F2,"G",IF(Partidos!D2=Partidos!F2,"E","P")))</f>
        <v>G</v>
      </c>
      <c r="E2" s="0" t="n">
        <f aca="false">IF(Partidos!C2="","",IF(D2="G",3,IF(D2="E",1,0)))</f>
        <v>3</v>
      </c>
    </row>
    <row r="3" customFormat="false" ht="15" hidden="false" customHeight="false" outlineLevel="0" collapsed="false">
      <c r="A3" s="0" t="str">
        <f aca="false">IF(Partidos!E2="","",Partidos!E2)</f>
        <v>GRAFICAJAS</v>
      </c>
      <c r="B3" s="0" t="n">
        <f aca="false">IF(Partidos!E2="","",Partidos!F2)</f>
        <v>2</v>
      </c>
      <c r="C3" s="0" t="n">
        <f aca="false">IF(Partidos!E2="","",Partidos!D2)</f>
        <v>5</v>
      </c>
      <c r="D3" s="0" t="str">
        <f aca="false">IF(Partidos!E2="","",IF(Partidos!F2&gt;Partidos!D2,"G",IF(Partidos!F2=Partidos!D2,"E","P")))</f>
        <v>P</v>
      </c>
      <c r="E3" s="0" t="n">
        <f aca="false">IF(Partidos!E2="","",IF(D3="G",3,IF(D3="E",1,0)))</f>
        <v>0</v>
      </c>
    </row>
    <row r="4" customFormat="false" ht="15" hidden="false" customHeight="false" outlineLevel="0" collapsed="false">
      <c r="A4" s="0" t="str">
        <f aca="false">IF(Partidos!C3="","",Partidos!C3)</f>
        <v>MACULA DEL MAL</v>
      </c>
      <c r="B4" s="0" t="n">
        <f aca="false">IF(Partidos!C3="","",Partidos!D3)</f>
        <v>4</v>
      </c>
      <c r="C4" s="0" t="n">
        <f aca="false">IF(Partidos!C3="","",Partidos!F3)</f>
        <v>4</v>
      </c>
      <c r="D4" s="0" t="str">
        <f aca="false">IF(Partidos!C3="","",IF(Partidos!D3&gt;Partidos!F3,"G",IF(Partidos!D3=Partidos!F3,"E","P")))</f>
        <v>E</v>
      </c>
      <c r="E4" s="0" t="n">
        <f aca="false">IF(Partidos!C3="","",IF(D4="G",3,IF(D4="E",1,0)))</f>
        <v>1</v>
      </c>
    </row>
    <row r="5" customFormat="false" ht="15" hidden="false" customHeight="false" outlineLevel="0" collapsed="false">
      <c r="A5" s="0" t="str">
        <f aca="false">IF(Partidos!E3="","",Partidos!E3)</f>
        <v>MULTIAVISOS DE LA 12</v>
      </c>
      <c r="B5" s="0" t="n">
        <f aca="false">IF(Partidos!E3="","",Partidos!F3)</f>
        <v>4</v>
      </c>
      <c r="C5" s="0" t="n">
        <f aca="false">IF(Partidos!E3="","",Partidos!D3)</f>
        <v>4</v>
      </c>
      <c r="D5" s="0" t="str">
        <f aca="false">IF(Partidos!E3="","",IF(Partidos!F3&gt;Partidos!D3,"G",IF(Partidos!F3=Partidos!D3,"E","P")))</f>
        <v>E</v>
      </c>
      <c r="E5" s="0" t="n">
        <f aca="false">IF(Partidos!E3="","",IF(D5="G",3,IF(D5="E",1,0)))</f>
        <v>1</v>
      </c>
    </row>
    <row r="6" customFormat="false" ht="15" hidden="false" customHeight="false" outlineLevel="0" collapsed="false">
      <c r="A6" s="0" t="str">
        <f aca="false">IF(Partidos!C4="","",Partidos!C4)</f>
        <v>ADH</v>
      </c>
      <c r="B6" s="0" t="n">
        <f aca="false">IF(Partidos!C4="","",Partidos!D4)</f>
        <v>6</v>
      </c>
      <c r="C6" s="0" t="n">
        <f aca="false">IF(Partidos!C4="","",Partidos!F4)</f>
        <v>1</v>
      </c>
      <c r="D6" s="0" t="str">
        <f aca="false">IF(Partidos!C4="","",IF(Partidos!D4&gt;Partidos!F4,"G",IF(Partidos!D4=Partidos!F4,"E","P")))</f>
        <v>G</v>
      </c>
      <c r="E6" s="0" t="n">
        <f aca="false">IF(Partidos!C4="","",IF(D6="G",3,IF(D6="E",1,0)))</f>
        <v>3</v>
      </c>
    </row>
    <row r="7" customFormat="false" ht="15" hidden="false" customHeight="false" outlineLevel="0" collapsed="false">
      <c r="A7" s="0" t="str">
        <f aca="false">IF(Partidos!E4="","",Partidos!E4)</f>
        <v>X-GRAPHICS</v>
      </c>
      <c r="B7" s="0" t="n">
        <f aca="false">IF(Partidos!E4="","",Partidos!F4)</f>
        <v>1</v>
      </c>
      <c r="C7" s="0" t="n">
        <f aca="false">IF(Partidos!E4="","",Partidos!D4)</f>
        <v>6</v>
      </c>
      <c r="D7" s="0" t="str">
        <f aca="false">IF(Partidos!E4="","",IF(Partidos!F4&gt;Partidos!D4,"G",IF(Partidos!F4=Partidos!D4,"E","P")))</f>
        <v>P</v>
      </c>
      <c r="E7" s="0" t="n">
        <f aca="false">IF(Partidos!E4="","",IF(D7="G",3,IF(D7="E",1,0)))</f>
        <v>0</v>
      </c>
    </row>
    <row r="8" customFormat="false" ht="15" hidden="false" customHeight="false" outlineLevel="0" collapsed="false">
      <c r="A8" s="0" t="str">
        <f aca="false">IF(Partidos!C5="","",Partidos!C5)</f>
        <v/>
      </c>
      <c r="B8" s="0" t="str">
        <f aca="false">IF(Partidos!C5="","",Partidos!D5)</f>
        <v/>
      </c>
      <c r="C8" s="0" t="str">
        <f aca="false">IF(Partidos!C5="","",Partidos!F5)</f>
        <v/>
      </c>
      <c r="D8" s="0" t="str">
        <f aca="false">IF(Partidos!C5="","",IF(Partidos!D5&gt;Partidos!F5,"G",IF(Partidos!D5=Partidos!F5,"E","P")))</f>
        <v/>
      </c>
      <c r="E8" s="0" t="str">
        <f aca="false">IF(Partidos!C5="","",IF(D8="G",3,IF(D8="E",1,0)))</f>
        <v/>
      </c>
    </row>
    <row r="9" customFormat="false" ht="15" hidden="false" customHeight="false" outlineLevel="0" collapsed="false">
      <c r="A9" s="0" t="str">
        <f aca="false">IF(Partidos!E5="","",Partidos!E5)</f>
        <v/>
      </c>
      <c r="B9" s="0" t="str">
        <f aca="false">IF(Partidos!E5="","",Partidos!F5)</f>
        <v/>
      </c>
      <c r="C9" s="0" t="str">
        <f aca="false">IF(Partidos!E5="","",Partidos!D5)</f>
        <v/>
      </c>
      <c r="D9" s="0" t="str">
        <f aca="false">IF(Partidos!E5="","",IF(Partidos!F5&gt;Partidos!D5,"G",IF(Partidos!F5=Partidos!D5,"E","P")))</f>
        <v/>
      </c>
      <c r="E9" s="0" t="str">
        <f aca="false">IF(Partidos!E5="","",IF(D9="G",3,IF(D9="E",1,0)))</f>
        <v/>
      </c>
    </row>
    <row r="10" customFormat="false" ht="15" hidden="false" customHeight="false" outlineLevel="0" collapsed="false">
      <c r="A10" s="0" t="str">
        <f aca="false">IF(Partidos!C6="","",Partidos!C6)</f>
        <v/>
      </c>
      <c r="B10" s="0" t="str">
        <f aca="false">IF(Partidos!C6="","",Partidos!D6)</f>
        <v/>
      </c>
      <c r="C10" s="0" t="str">
        <f aca="false">IF(Partidos!C6="","",Partidos!F6)</f>
        <v/>
      </c>
      <c r="D10" s="0" t="str">
        <f aca="false">IF(Partidos!C6="","",IF(Partidos!D6&gt;Partidos!F6,"G",IF(Partidos!D6=Partidos!F6,"E","P")))</f>
        <v/>
      </c>
      <c r="E10" s="0" t="str">
        <f aca="false">IF(Partidos!C6="","",IF(D10="G",3,IF(D10="E",1,0)))</f>
        <v/>
      </c>
    </row>
    <row r="11" customFormat="false" ht="15" hidden="false" customHeight="false" outlineLevel="0" collapsed="false">
      <c r="A11" s="0" t="str">
        <f aca="false">IF(Partidos!E6="","",Partidos!E6)</f>
        <v/>
      </c>
      <c r="B11" s="0" t="str">
        <f aca="false">IF(Partidos!E6="","",Partidos!F6)</f>
        <v/>
      </c>
      <c r="C11" s="0" t="str">
        <f aca="false">IF(Partidos!E6="","",Partidos!D6)</f>
        <v/>
      </c>
      <c r="D11" s="0" t="str">
        <f aca="false">IF(Partidos!E6="","",IF(Partidos!F6&gt;Partidos!D6,"G",IF(Partidos!F6=Partidos!D6,"E","P")))</f>
        <v/>
      </c>
      <c r="E11" s="0" t="str">
        <f aca="false">IF(Partidos!E6="","",IF(D11="G",3,IF(D11="E",1,0)))</f>
        <v/>
      </c>
    </row>
    <row r="12" customFormat="false" ht="15" hidden="false" customHeight="false" outlineLevel="0" collapsed="false">
      <c r="A12" s="0" t="str">
        <f aca="false">IF(Partidos!C7="","",Partidos!C7)</f>
        <v/>
      </c>
      <c r="B12" s="0" t="str">
        <f aca="false">IF(Partidos!C7="","",Partidos!D7)</f>
        <v/>
      </c>
      <c r="C12" s="0" t="str">
        <f aca="false">IF(Partidos!C7="","",Partidos!F7)</f>
        <v/>
      </c>
      <c r="D12" s="0" t="str">
        <f aca="false">IF(Partidos!C7="","",IF(Partidos!D7&gt;Partidos!F7,"G",IF(Partidos!D7=Partidos!F7,"E","P")))</f>
        <v/>
      </c>
      <c r="E12" s="0" t="str">
        <f aca="false">IF(Partidos!C7="","",IF(D12="G",3,IF(D12="E",1,0)))</f>
        <v/>
      </c>
    </row>
    <row r="13" customFormat="false" ht="15" hidden="false" customHeight="false" outlineLevel="0" collapsed="false">
      <c r="A13" s="0" t="str">
        <f aca="false">IF(Partidos!E7="","",Partidos!E7)</f>
        <v/>
      </c>
      <c r="B13" s="0" t="str">
        <f aca="false">IF(Partidos!E7="","",Partidos!F7)</f>
        <v/>
      </c>
      <c r="C13" s="0" t="str">
        <f aca="false">IF(Partidos!E7="","",Partidos!D7)</f>
        <v/>
      </c>
      <c r="D13" s="0" t="str">
        <f aca="false">IF(Partidos!E7="","",IF(Partidos!F7&gt;Partidos!D7,"G",IF(Partidos!F7=Partidos!D7,"E","P")))</f>
        <v/>
      </c>
      <c r="E13" s="0" t="str">
        <f aca="false">IF(Partidos!E7="","",IF(D13="G",3,IF(D13="E",1,0)))</f>
        <v/>
      </c>
    </row>
    <row r="14" customFormat="false" ht="15" hidden="false" customHeight="false" outlineLevel="0" collapsed="false">
      <c r="A14" s="0" t="str">
        <f aca="false">IF(Partidos!C8="","",Partidos!C8)</f>
        <v/>
      </c>
      <c r="B14" s="0" t="str">
        <f aca="false">IF(Partidos!C8="","",Partidos!D8)</f>
        <v/>
      </c>
      <c r="C14" s="0" t="str">
        <f aca="false">IF(Partidos!C8="","",Partidos!F8)</f>
        <v/>
      </c>
      <c r="D14" s="0" t="str">
        <f aca="false">IF(Partidos!C8="","",IF(Partidos!D8&gt;Partidos!F8,"G",IF(Partidos!D8=Partidos!F8,"E","P")))</f>
        <v/>
      </c>
      <c r="E14" s="0" t="str">
        <f aca="false">IF(Partidos!C8="","",IF(D14="G",3,IF(D14="E",1,0)))</f>
        <v/>
      </c>
    </row>
    <row r="15" customFormat="false" ht="15" hidden="false" customHeight="false" outlineLevel="0" collapsed="false">
      <c r="A15" s="0" t="str">
        <f aca="false">IF(Partidos!E8="","",Partidos!E8)</f>
        <v/>
      </c>
      <c r="B15" s="0" t="str">
        <f aca="false">IF(Partidos!E8="","",Partidos!F8)</f>
        <v/>
      </c>
      <c r="C15" s="0" t="str">
        <f aca="false">IF(Partidos!E8="","",Partidos!D8)</f>
        <v/>
      </c>
      <c r="D15" s="0" t="str">
        <f aca="false">IF(Partidos!E8="","",IF(Partidos!F8&gt;Partidos!D8,"G",IF(Partidos!F8=Partidos!D8,"E","P")))</f>
        <v/>
      </c>
      <c r="E15" s="0" t="str">
        <f aca="false">IF(Partidos!E8="","",IF(D15="G",3,IF(D15="E",1,0)))</f>
        <v/>
      </c>
    </row>
    <row r="16" customFormat="false" ht="15" hidden="false" customHeight="false" outlineLevel="0" collapsed="false">
      <c r="A16" s="0" t="str">
        <f aca="false">IF(Partidos!C9="","",Partidos!C9)</f>
        <v/>
      </c>
      <c r="B16" s="0" t="str">
        <f aca="false">IF(Partidos!C9="","",Partidos!D9)</f>
        <v/>
      </c>
      <c r="C16" s="0" t="str">
        <f aca="false">IF(Partidos!C9="","",Partidos!F9)</f>
        <v/>
      </c>
      <c r="D16" s="0" t="str">
        <f aca="false">IF(Partidos!C9="","",IF(Partidos!D9&gt;Partidos!F9,"G",IF(Partidos!D9=Partidos!F9,"E","P")))</f>
        <v/>
      </c>
      <c r="E16" s="0" t="str">
        <f aca="false">IF(Partidos!C9="","",IF(D16="G",3,IF(D16="E",1,0)))</f>
        <v/>
      </c>
    </row>
    <row r="17" customFormat="false" ht="15" hidden="false" customHeight="false" outlineLevel="0" collapsed="false">
      <c r="A17" s="0" t="str">
        <f aca="false">IF(Partidos!E9="","",Partidos!E9)</f>
        <v/>
      </c>
      <c r="B17" s="0" t="str">
        <f aca="false">IF(Partidos!E9="","",Partidos!F9)</f>
        <v/>
      </c>
      <c r="C17" s="0" t="str">
        <f aca="false">IF(Partidos!E9="","",Partidos!D9)</f>
        <v/>
      </c>
      <c r="D17" s="0" t="str">
        <f aca="false">IF(Partidos!E9="","",IF(Partidos!F9&gt;Partidos!D9,"G",IF(Partidos!F9=Partidos!D9,"E","P")))</f>
        <v/>
      </c>
      <c r="E17" s="0" t="str">
        <f aca="false">IF(Partidos!E9="","",IF(D17="G",3,IF(D17="E",1,0)))</f>
        <v/>
      </c>
    </row>
    <row r="18" customFormat="false" ht="15" hidden="false" customHeight="false" outlineLevel="0" collapsed="false">
      <c r="A18" s="0" t="str">
        <f aca="false">IF(Partidos!C10="","",Partidos!C10)</f>
        <v/>
      </c>
      <c r="B18" s="0" t="str">
        <f aca="false">IF(Partidos!C10="","",Partidos!D10)</f>
        <v/>
      </c>
      <c r="C18" s="0" t="str">
        <f aca="false">IF(Partidos!C10="","",Partidos!F10)</f>
        <v/>
      </c>
      <c r="D18" s="0" t="str">
        <f aca="false">IF(Partidos!C10="","",IF(Partidos!D10&gt;Partidos!F10,"G",IF(Partidos!D10=Partidos!F10,"E","P")))</f>
        <v/>
      </c>
      <c r="E18" s="0" t="str">
        <f aca="false">IF(Partidos!C10="","",IF(D18="G",3,IF(D18="E",1,0)))</f>
        <v/>
      </c>
    </row>
    <row r="19" customFormat="false" ht="15" hidden="false" customHeight="false" outlineLevel="0" collapsed="false">
      <c r="A19" s="0" t="str">
        <f aca="false">IF(Partidos!E10="","",Partidos!E10)</f>
        <v/>
      </c>
      <c r="B19" s="0" t="str">
        <f aca="false">IF(Partidos!E10="","",Partidos!F10)</f>
        <v/>
      </c>
      <c r="C19" s="0" t="str">
        <f aca="false">IF(Partidos!E10="","",Partidos!D10)</f>
        <v/>
      </c>
      <c r="D19" s="0" t="str">
        <f aca="false">IF(Partidos!E10="","",IF(Partidos!F10&gt;Partidos!D10,"G",IF(Partidos!F10=Partidos!D10,"E","P")))</f>
        <v/>
      </c>
      <c r="E19" s="0" t="str">
        <f aca="false">IF(Partidos!E10="","",IF(D19="G",3,IF(D19="E",1,0)))</f>
        <v/>
      </c>
    </row>
    <row r="20" customFormat="false" ht="15" hidden="false" customHeight="false" outlineLevel="0" collapsed="false">
      <c r="A20" s="0" t="str">
        <f aca="false">IF(Partidos!C11="","",Partidos!C11)</f>
        <v/>
      </c>
      <c r="B20" s="0" t="str">
        <f aca="false">IF(Partidos!C11="","",Partidos!D11)</f>
        <v/>
      </c>
      <c r="C20" s="0" t="str">
        <f aca="false">IF(Partidos!C11="","",Partidos!F11)</f>
        <v/>
      </c>
      <c r="D20" s="0" t="str">
        <f aca="false">IF(Partidos!C11="","",IF(Partidos!D11&gt;Partidos!F11,"G",IF(Partidos!D11=Partidos!F11,"E","P")))</f>
        <v/>
      </c>
      <c r="E20" s="0" t="str">
        <f aca="false">IF(Partidos!C11="","",IF(D20="G",3,IF(D20="E",1,0)))</f>
        <v/>
      </c>
    </row>
    <row r="21" customFormat="false" ht="15" hidden="false" customHeight="false" outlineLevel="0" collapsed="false">
      <c r="A21" s="0" t="str">
        <f aca="false">IF(Partidos!E11="","",Partidos!E11)</f>
        <v/>
      </c>
      <c r="B21" s="0" t="str">
        <f aca="false">IF(Partidos!E11="","",Partidos!F11)</f>
        <v/>
      </c>
      <c r="C21" s="0" t="str">
        <f aca="false">IF(Partidos!E11="","",Partidos!D11)</f>
        <v/>
      </c>
      <c r="D21" s="0" t="str">
        <f aca="false">IF(Partidos!E11="","",IF(Partidos!F11&gt;Partidos!D11,"G",IF(Partidos!F11=Partidos!D11,"E","P")))</f>
        <v/>
      </c>
      <c r="E21" s="0" t="str">
        <f aca="false">IF(Partidos!E11="","",IF(D21="G",3,IF(D21="E",1,0)))</f>
        <v/>
      </c>
    </row>
    <row r="22" customFormat="false" ht="15" hidden="false" customHeight="false" outlineLevel="0" collapsed="false">
      <c r="A22" s="0" t="str">
        <f aca="false">IF(Partidos!C12="","",Partidos!C12)</f>
        <v/>
      </c>
      <c r="B22" s="0" t="str">
        <f aca="false">IF(Partidos!C12="","",Partidos!D12)</f>
        <v/>
      </c>
      <c r="C22" s="0" t="str">
        <f aca="false">IF(Partidos!C12="","",Partidos!F12)</f>
        <v/>
      </c>
      <c r="D22" s="0" t="str">
        <f aca="false">IF(Partidos!C12="","",IF(Partidos!D12&gt;Partidos!F12,"G",IF(Partidos!D12=Partidos!F12,"E","P")))</f>
        <v/>
      </c>
      <c r="E22" s="0" t="str">
        <f aca="false">IF(Partidos!C12="","",IF(D22="G",3,IF(D22="E",1,0)))</f>
        <v/>
      </c>
    </row>
    <row r="23" customFormat="false" ht="15" hidden="false" customHeight="false" outlineLevel="0" collapsed="false">
      <c r="A23" s="0" t="str">
        <f aca="false">IF(Partidos!E12="","",Partidos!E12)</f>
        <v/>
      </c>
      <c r="B23" s="0" t="str">
        <f aca="false">IF(Partidos!E12="","",Partidos!F12)</f>
        <v/>
      </c>
      <c r="C23" s="0" t="str">
        <f aca="false">IF(Partidos!E12="","",Partidos!D12)</f>
        <v/>
      </c>
      <c r="D23" s="0" t="str">
        <f aca="false">IF(Partidos!E12="","",IF(Partidos!F12&gt;Partidos!D12,"G",IF(Partidos!F12=Partidos!D12,"E","P")))</f>
        <v/>
      </c>
      <c r="E23" s="0" t="str">
        <f aca="false">IF(Partidos!E12="","",IF(D23="G",3,IF(D23="E",1,0)))</f>
        <v/>
      </c>
    </row>
    <row r="24" customFormat="false" ht="15" hidden="false" customHeight="false" outlineLevel="0" collapsed="false">
      <c r="A24" s="0" t="str">
        <f aca="false">IF(Partidos!C13="","",Partidos!C13)</f>
        <v/>
      </c>
      <c r="B24" s="0" t="str">
        <f aca="false">IF(Partidos!C13="","",Partidos!D13)</f>
        <v/>
      </c>
      <c r="C24" s="0" t="str">
        <f aca="false">IF(Partidos!C13="","",Partidos!F13)</f>
        <v/>
      </c>
      <c r="D24" s="0" t="str">
        <f aca="false">IF(Partidos!C13="","",IF(Partidos!D13&gt;Partidos!F13,"G",IF(Partidos!D13=Partidos!F13,"E","P")))</f>
        <v/>
      </c>
      <c r="E24" s="0" t="str">
        <f aca="false">IF(Partidos!C13="","",IF(D24="G",3,IF(D24="E",1,0)))</f>
        <v/>
      </c>
    </row>
    <row r="25" customFormat="false" ht="15" hidden="false" customHeight="false" outlineLevel="0" collapsed="false">
      <c r="A25" s="0" t="str">
        <f aca="false">IF(Partidos!E13="","",Partidos!E13)</f>
        <v/>
      </c>
      <c r="B25" s="0" t="str">
        <f aca="false">IF(Partidos!E13="","",Partidos!F13)</f>
        <v/>
      </c>
      <c r="C25" s="0" t="str">
        <f aca="false">IF(Partidos!E13="","",Partidos!D13)</f>
        <v/>
      </c>
      <c r="D25" s="0" t="str">
        <f aca="false">IF(Partidos!E13="","",IF(Partidos!F13&gt;Partidos!D13,"G",IF(Partidos!F13=Partidos!D13,"E","P")))</f>
        <v/>
      </c>
      <c r="E25" s="0" t="str">
        <f aca="false">IF(Partidos!E13="","",IF(D25="G",3,IF(D25="E",1,0)))</f>
        <v/>
      </c>
    </row>
    <row r="26" customFormat="false" ht="15" hidden="false" customHeight="false" outlineLevel="0" collapsed="false">
      <c r="A26" s="0" t="str">
        <f aca="false">IF(Partidos!C14="","",Partidos!C14)</f>
        <v/>
      </c>
      <c r="B26" s="0" t="str">
        <f aca="false">IF(Partidos!C14="","",Partidos!D14)</f>
        <v/>
      </c>
      <c r="C26" s="0" t="str">
        <f aca="false">IF(Partidos!C14="","",Partidos!F14)</f>
        <v/>
      </c>
      <c r="D26" s="0" t="str">
        <f aca="false">IF(Partidos!C14="","",IF(Partidos!D14&gt;Partidos!F14,"G",IF(Partidos!D14=Partidos!F14,"E","P")))</f>
        <v/>
      </c>
      <c r="E26" s="0" t="str">
        <f aca="false">IF(Partidos!C14="","",IF(D26="G",3,IF(D26="E",1,0)))</f>
        <v/>
      </c>
    </row>
    <row r="27" customFormat="false" ht="15" hidden="false" customHeight="false" outlineLevel="0" collapsed="false">
      <c r="A27" s="0" t="str">
        <f aca="false">IF(Partidos!E14="","",Partidos!E14)</f>
        <v/>
      </c>
      <c r="B27" s="0" t="str">
        <f aca="false">IF(Partidos!E14="","",Partidos!F14)</f>
        <v/>
      </c>
      <c r="C27" s="0" t="str">
        <f aca="false">IF(Partidos!E14="","",Partidos!D14)</f>
        <v/>
      </c>
      <c r="D27" s="0" t="str">
        <f aca="false">IF(Partidos!E14="","",IF(Partidos!F14&gt;Partidos!D14,"G",IF(Partidos!F14=Partidos!D14,"E","P")))</f>
        <v/>
      </c>
      <c r="E27" s="0" t="str">
        <f aca="false">IF(Partidos!E14="","",IF(D27="G",3,IF(D27="E",1,0)))</f>
        <v/>
      </c>
    </row>
    <row r="28" customFormat="false" ht="15" hidden="false" customHeight="false" outlineLevel="0" collapsed="false">
      <c r="A28" s="0" t="str">
        <f aca="false">IF(Partidos!C15="","",Partidos!C15)</f>
        <v/>
      </c>
      <c r="B28" s="0" t="str">
        <f aca="false">IF(Partidos!C15="","",Partidos!D15)</f>
        <v/>
      </c>
      <c r="C28" s="0" t="str">
        <f aca="false">IF(Partidos!C15="","",Partidos!F15)</f>
        <v/>
      </c>
      <c r="D28" s="0" t="str">
        <f aca="false">IF(Partidos!C15="","",IF(Partidos!D15&gt;Partidos!F15,"G",IF(Partidos!D15=Partidos!F15,"E","P")))</f>
        <v/>
      </c>
      <c r="E28" s="0" t="str">
        <f aca="false">IF(Partidos!C15="","",IF(D28="G",3,IF(D28="E",1,0)))</f>
        <v/>
      </c>
    </row>
    <row r="29" customFormat="false" ht="15" hidden="false" customHeight="false" outlineLevel="0" collapsed="false">
      <c r="A29" s="0" t="str">
        <f aca="false">IF(Partidos!E15="","",Partidos!E15)</f>
        <v/>
      </c>
      <c r="B29" s="0" t="str">
        <f aca="false">IF(Partidos!E15="","",Partidos!F15)</f>
        <v/>
      </c>
      <c r="C29" s="0" t="str">
        <f aca="false">IF(Partidos!E15="","",Partidos!D15)</f>
        <v/>
      </c>
      <c r="D29" s="0" t="str">
        <f aca="false">IF(Partidos!E15="","",IF(Partidos!F15&gt;Partidos!D15,"G",IF(Partidos!F15=Partidos!D15,"E","P")))</f>
        <v/>
      </c>
      <c r="E29" s="0" t="str">
        <f aca="false">IF(Partidos!E15="","",IF(D29="G",3,IF(D29="E",1,0)))</f>
        <v/>
      </c>
    </row>
    <row r="30" customFormat="false" ht="15" hidden="false" customHeight="false" outlineLevel="0" collapsed="false">
      <c r="A30" s="0" t="str">
        <f aca="false">IF(Partidos!C16="","",Partidos!C16)</f>
        <v/>
      </c>
      <c r="B30" s="0" t="str">
        <f aca="false">IF(Partidos!C16="","",Partidos!D16)</f>
        <v/>
      </c>
      <c r="C30" s="0" t="str">
        <f aca="false">IF(Partidos!C16="","",Partidos!F16)</f>
        <v/>
      </c>
      <c r="D30" s="0" t="str">
        <f aca="false">IF(Partidos!C16="","",IF(Partidos!D16&gt;Partidos!F16,"G",IF(Partidos!D16=Partidos!F16,"E","P")))</f>
        <v/>
      </c>
      <c r="E30" s="0" t="str">
        <f aca="false">IF(Partidos!C16="","",IF(D30="G",3,IF(D30="E",1,0)))</f>
        <v/>
      </c>
    </row>
    <row r="31" customFormat="false" ht="15" hidden="false" customHeight="false" outlineLevel="0" collapsed="false">
      <c r="A31" s="0" t="str">
        <f aca="false">IF(Partidos!E16="","",Partidos!E16)</f>
        <v/>
      </c>
      <c r="B31" s="0" t="str">
        <f aca="false">IF(Partidos!E16="","",Partidos!F16)</f>
        <v/>
      </c>
      <c r="C31" s="0" t="str">
        <f aca="false">IF(Partidos!E16="","",Partidos!D16)</f>
        <v/>
      </c>
      <c r="D31" s="0" t="str">
        <f aca="false">IF(Partidos!E16="","",IF(Partidos!F16&gt;Partidos!D16,"G",IF(Partidos!F16=Partidos!D16,"E","P")))</f>
        <v/>
      </c>
      <c r="E31" s="0" t="str">
        <f aca="false">IF(Partidos!E16="","",IF(D31="G",3,IF(D31="E",1,0)))</f>
        <v/>
      </c>
    </row>
    <row r="32" customFormat="false" ht="15" hidden="false" customHeight="false" outlineLevel="0" collapsed="false">
      <c r="A32" s="0" t="str">
        <f aca="false">IF(Partidos!C17="","",Partidos!C17)</f>
        <v/>
      </c>
      <c r="B32" s="0" t="str">
        <f aca="false">IF(Partidos!C17="","",Partidos!D17)</f>
        <v/>
      </c>
      <c r="C32" s="0" t="str">
        <f aca="false">IF(Partidos!C17="","",Partidos!F17)</f>
        <v/>
      </c>
      <c r="D32" s="0" t="str">
        <f aca="false">IF(Partidos!C17="","",IF(Partidos!D17&gt;Partidos!F17,"G",IF(Partidos!D17=Partidos!F17,"E","P")))</f>
        <v/>
      </c>
      <c r="E32" s="0" t="str">
        <f aca="false">IF(Partidos!C17="","",IF(D32="G",3,IF(D32="E",1,0)))</f>
        <v/>
      </c>
    </row>
    <row r="33" customFormat="false" ht="15" hidden="false" customHeight="false" outlineLevel="0" collapsed="false">
      <c r="A33" s="0" t="str">
        <f aca="false">IF(Partidos!E17="","",Partidos!E17)</f>
        <v/>
      </c>
      <c r="B33" s="0" t="str">
        <f aca="false">IF(Partidos!E17="","",Partidos!F17)</f>
        <v/>
      </c>
      <c r="C33" s="0" t="str">
        <f aca="false">IF(Partidos!E17="","",Partidos!D17)</f>
        <v/>
      </c>
      <c r="D33" s="0" t="str">
        <f aca="false">IF(Partidos!E17="","",IF(Partidos!F17&gt;Partidos!D17,"G",IF(Partidos!F17=Partidos!D17,"E","P")))</f>
        <v/>
      </c>
      <c r="E33" s="0" t="str">
        <f aca="false">IF(Partidos!E17="","",IF(D33="G",3,IF(D33="E",1,0)))</f>
        <v/>
      </c>
    </row>
    <row r="34" customFormat="false" ht="15" hidden="false" customHeight="false" outlineLevel="0" collapsed="false">
      <c r="A34" s="0" t="str">
        <f aca="false">IF(Partidos!C18="","",Partidos!C18)</f>
        <v/>
      </c>
      <c r="B34" s="0" t="str">
        <f aca="false">IF(Partidos!C18="","",Partidos!D18)</f>
        <v/>
      </c>
      <c r="C34" s="0" t="str">
        <f aca="false">IF(Partidos!C18="","",Partidos!F18)</f>
        <v/>
      </c>
      <c r="D34" s="0" t="str">
        <f aca="false">IF(Partidos!C18="","",IF(Partidos!D18&gt;Partidos!F18,"G",IF(Partidos!D18=Partidos!F18,"E","P")))</f>
        <v/>
      </c>
      <c r="E34" s="0" t="str">
        <f aca="false">IF(Partidos!C18="","",IF(D34="G",3,IF(D34="E",1,0)))</f>
        <v/>
      </c>
    </row>
    <row r="35" customFormat="false" ht="15" hidden="false" customHeight="false" outlineLevel="0" collapsed="false">
      <c r="A35" s="0" t="str">
        <f aca="false">IF(Partidos!E18="","",Partidos!E18)</f>
        <v/>
      </c>
      <c r="B35" s="0" t="str">
        <f aca="false">IF(Partidos!E18="","",Partidos!F18)</f>
        <v/>
      </c>
      <c r="C35" s="0" t="str">
        <f aca="false">IF(Partidos!E18="","",Partidos!D18)</f>
        <v/>
      </c>
      <c r="D35" s="0" t="str">
        <f aca="false">IF(Partidos!E18="","",IF(Partidos!F18&gt;Partidos!D18,"G",IF(Partidos!F18=Partidos!D18,"E","P")))</f>
        <v/>
      </c>
      <c r="E35" s="0" t="str">
        <f aca="false">IF(Partidos!E18="","",IF(D35="G",3,IF(D35="E",1,0)))</f>
        <v/>
      </c>
    </row>
    <row r="36" customFormat="false" ht="15" hidden="false" customHeight="false" outlineLevel="0" collapsed="false">
      <c r="A36" s="0" t="str">
        <f aca="false">IF(Partidos!C19="","",Partidos!C19)</f>
        <v/>
      </c>
      <c r="B36" s="0" t="str">
        <f aca="false">IF(Partidos!C19="","",Partidos!D19)</f>
        <v/>
      </c>
      <c r="C36" s="0" t="str">
        <f aca="false">IF(Partidos!C19="","",Partidos!F19)</f>
        <v/>
      </c>
      <c r="D36" s="0" t="str">
        <f aca="false">IF(Partidos!C19="","",IF(Partidos!D19&gt;Partidos!F19,"G",IF(Partidos!D19=Partidos!F19,"E","P")))</f>
        <v/>
      </c>
      <c r="E36" s="0" t="str">
        <f aca="false">IF(Partidos!C19="","",IF(D36="G",3,IF(D36="E",1,0)))</f>
        <v/>
      </c>
    </row>
    <row r="37" customFormat="false" ht="15" hidden="false" customHeight="false" outlineLevel="0" collapsed="false">
      <c r="A37" s="0" t="str">
        <f aca="false">IF(Partidos!E19="","",Partidos!E19)</f>
        <v/>
      </c>
      <c r="B37" s="0" t="str">
        <f aca="false">IF(Partidos!E19="","",Partidos!F19)</f>
        <v/>
      </c>
      <c r="C37" s="0" t="str">
        <f aca="false">IF(Partidos!E19="","",Partidos!D19)</f>
        <v/>
      </c>
      <c r="D37" s="0" t="str">
        <f aca="false">IF(Partidos!E19="","",IF(Partidos!F19&gt;Partidos!D19,"G",IF(Partidos!F19=Partidos!D19,"E","P")))</f>
        <v/>
      </c>
      <c r="E37" s="0" t="str">
        <f aca="false">IF(Partidos!E19="","",IF(D37="G",3,IF(D37="E",1,0)))</f>
        <v/>
      </c>
    </row>
    <row r="38" customFormat="false" ht="15" hidden="false" customHeight="false" outlineLevel="0" collapsed="false">
      <c r="A38" s="0" t="str">
        <f aca="false">IF(Partidos!C20="","",Partidos!C20)</f>
        <v/>
      </c>
      <c r="B38" s="0" t="str">
        <f aca="false">IF(Partidos!C20="","",Partidos!D20)</f>
        <v/>
      </c>
      <c r="C38" s="0" t="str">
        <f aca="false">IF(Partidos!C20="","",Partidos!F20)</f>
        <v/>
      </c>
      <c r="D38" s="0" t="str">
        <f aca="false">IF(Partidos!C20="","",IF(Partidos!D20&gt;Partidos!F20,"G",IF(Partidos!D20=Partidos!F20,"E","P")))</f>
        <v/>
      </c>
      <c r="E38" s="0" t="str">
        <f aca="false">IF(Partidos!C20="","",IF(D38="G",3,IF(D38="E",1,0)))</f>
        <v/>
      </c>
    </row>
    <row r="39" customFormat="false" ht="15" hidden="false" customHeight="false" outlineLevel="0" collapsed="false">
      <c r="A39" s="0" t="str">
        <f aca="false">IF(Partidos!E20="","",Partidos!E20)</f>
        <v/>
      </c>
      <c r="B39" s="0" t="str">
        <f aca="false">IF(Partidos!E20="","",Partidos!F20)</f>
        <v/>
      </c>
      <c r="C39" s="0" t="str">
        <f aca="false">IF(Partidos!E20="","",Partidos!D20)</f>
        <v/>
      </c>
      <c r="D39" s="0" t="str">
        <f aca="false">IF(Partidos!E20="","",IF(Partidos!F20&gt;Partidos!D20,"G",IF(Partidos!F20=Partidos!D20,"E","P")))</f>
        <v/>
      </c>
      <c r="E39" s="0" t="str">
        <f aca="false">IF(Partidos!E20="","",IF(D39="G",3,IF(D39="E",1,0)))</f>
        <v/>
      </c>
    </row>
    <row r="40" customFormat="false" ht="15" hidden="false" customHeight="false" outlineLevel="0" collapsed="false">
      <c r="A40" s="0" t="str">
        <f aca="false">IF(Partidos!C21="","",Partidos!C21)</f>
        <v/>
      </c>
      <c r="B40" s="0" t="str">
        <f aca="false">IF(Partidos!C21="","",Partidos!D21)</f>
        <v/>
      </c>
      <c r="C40" s="0" t="str">
        <f aca="false">IF(Partidos!C21="","",Partidos!F21)</f>
        <v/>
      </c>
      <c r="D40" s="0" t="str">
        <f aca="false">IF(Partidos!C21="","",IF(Partidos!D21&gt;Partidos!F21,"G",IF(Partidos!D21=Partidos!F21,"E","P")))</f>
        <v/>
      </c>
      <c r="E40" s="0" t="str">
        <f aca="false">IF(Partidos!C21="","",IF(D40="G",3,IF(D40="E",1,0)))</f>
        <v/>
      </c>
    </row>
    <row r="41" customFormat="false" ht="15" hidden="false" customHeight="false" outlineLevel="0" collapsed="false">
      <c r="A41" s="0" t="str">
        <f aca="false">IF(Partidos!E21="","",Partidos!E21)</f>
        <v/>
      </c>
      <c r="B41" s="0" t="str">
        <f aca="false">IF(Partidos!E21="","",Partidos!F21)</f>
        <v/>
      </c>
      <c r="C41" s="0" t="str">
        <f aca="false">IF(Partidos!E21="","",Partidos!D21)</f>
        <v/>
      </c>
      <c r="D41" s="0" t="str">
        <f aca="false">IF(Partidos!E21="","",IF(Partidos!F21&gt;Partidos!D21,"G",IF(Partidos!F21=Partidos!D21,"E","P")))</f>
        <v/>
      </c>
      <c r="E41" s="0" t="str">
        <f aca="false">IF(Partidos!E21="","",IF(D41="G",3,IF(D41="E",1,0)))</f>
        <v/>
      </c>
    </row>
    <row r="42" customFormat="false" ht="15" hidden="false" customHeight="false" outlineLevel="0" collapsed="false">
      <c r="A42" s="0" t="str">
        <f aca="false">IF(Partidos!C22="","",Partidos!C22)</f>
        <v/>
      </c>
      <c r="B42" s="0" t="str">
        <f aca="false">IF(Partidos!C22="","",Partidos!D22)</f>
        <v/>
      </c>
      <c r="C42" s="0" t="str">
        <f aca="false">IF(Partidos!C22="","",Partidos!F22)</f>
        <v/>
      </c>
      <c r="D42" s="0" t="str">
        <f aca="false">IF(Partidos!C22="","",IF(Partidos!D22&gt;Partidos!F22,"G",IF(Partidos!D22=Partidos!F22,"E","P")))</f>
        <v/>
      </c>
      <c r="E42" s="0" t="str">
        <f aca="false">IF(Partidos!C22="","",IF(D42="G",3,IF(D42="E",1,0)))</f>
        <v/>
      </c>
    </row>
    <row r="43" customFormat="false" ht="15" hidden="false" customHeight="false" outlineLevel="0" collapsed="false">
      <c r="A43" s="0" t="str">
        <f aca="false">IF(Partidos!E22="","",Partidos!E22)</f>
        <v/>
      </c>
      <c r="B43" s="0" t="str">
        <f aca="false">IF(Partidos!E22="","",Partidos!F22)</f>
        <v/>
      </c>
      <c r="C43" s="0" t="str">
        <f aca="false">IF(Partidos!E22="","",Partidos!D22)</f>
        <v/>
      </c>
      <c r="D43" s="0" t="str">
        <f aca="false">IF(Partidos!E22="","",IF(Partidos!F22&gt;Partidos!D22,"G",IF(Partidos!F22=Partidos!D22,"E","P")))</f>
        <v/>
      </c>
      <c r="E43" s="0" t="str">
        <f aca="false">IF(Partidos!E22="","",IF(D43="G",3,IF(D43="E",1,0)))</f>
        <v/>
      </c>
    </row>
    <row r="44" customFormat="false" ht="15" hidden="false" customHeight="false" outlineLevel="0" collapsed="false">
      <c r="A44" s="0" t="str">
        <f aca="false">IF(Partidos!C23="","",Partidos!C23)</f>
        <v/>
      </c>
      <c r="B44" s="0" t="str">
        <f aca="false">IF(Partidos!C23="","",Partidos!D23)</f>
        <v/>
      </c>
      <c r="C44" s="0" t="str">
        <f aca="false">IF(Partidos!C23="","",Partidos!F23)</f>
        <v/>
      </c>
      <c r="D44" s="0" t="str">
        <f aca="false">IF(Partidos!C23="","",IF(Partidos!D23&gt;Partidos!F23,"G",IF(Partidos!D23=Partidos!F23,"E","P")))</f>
        <v/>
      </c>
      <c r="E44" s="0" t="str">
        <f aca="false">IF(Partidos!C23="","",IF(D44="G",3,IF(D44="E",1,0)))</f>
        <v/>
      </c>
    </row>
    <row r="45" customFormat="false" ht="15" hidden="false" customHeight="false" outlineLevel="0" collapsed="false">
      <c r="A45" s="0" t="str">
        <f aca="false">IF(Partidos!E23="","",Partidos!E23)</f>
        <v/>
      </c>
      <c r="B45" s="0" t="str">
        <f aca="false">IF(Partidos!E23="","",Partidos!F23)</f>
        <v/>
      </c>
      <c r="C45" s="0" t="str">
        <f aca="false">IF(Partidos!E23="","",Partidos!D23)</f>
        <v/>
      </c>
      <c r="D45" s="0" t="str">
        <f aca="false">IF(Partidos!E23="","",IF(Partidos!F23&gt;Partidos!D23,"G",IF(Partidos!F23=Partidos!D23,"E","P")))</f>
        <v/>
      </c>
      <c r="E45" s="0" t="str">
        <f aca="false">IF(Partidos!E23="","",IF(D45="G",3,IF(D45="E",1,0)))</f>
        <v/>
      </c>
    </row>
    <row r="46" customFormat="false" ht="15" hidden="false" customHeight="false" outlineLevel="0" collapsed="false">
      <c r="A46" s="0" t="str">
        <f aca="false">IF(Partidos!C24="","",Partidos!C24)</f>
        <v/>
      </c>
      <c r="B46" s="0" t="str">
        <f aca="false">IF(Partidos!C24="","",Partidos!D24)</f>
        <v/>
      </c>
      <c r="C46" s="0" t="str">
        <f aca="false">IF(Partidos!C24="","",Partidos!F24)</f>
        <v/>
      </c>
      <c r="D46" s="0" t="str">
        <f aca="false">IF(Partidos!C24="","",IF(Partidos!D24&gt;Partidos!F24,"G",IF(Partidos!D24=Partidos!F24,"E","P")))</f>
        <v/>
      </c>
      <c r="E46" s="0" t="str">
        <f aca="false">IF(Partidos!C24="","",IF(D46="G",3,IF(D46="E",1,0)))</f>
        <v/>
      </c>
    </row>
    <row r="47" customFormat="false" ht="15" hidden="false" customHeight="false" outlineLevel="0" collapsed="false">
      <c r="A47" s="0" t="str">
        <f aca="false">IF(Partidos!E24="","",Partidos!E24)</f>
        <v/>
      </c>
      <c r="B47" s="0" t="str">
        <f aca="false">IF(Partidos!E24="","",Partidos!F24)</f>
        <v/>
      </c>
      <c r="C47" s="0" t="str">
        <f aca="false">IF(Partidos!E24="","",Partidos!D24)</f>
        <v/>
      </c>
      <c r="D47" s="0" t="str">
        <f aca="false">IF(Partidos!E24="","",IF(Partidos!F24&gt;Partidos!D24,"G",IF(Partidos!F24=Partidos!D24,"E","P")))</f>
        <v/>
      </c>
      <c r="E47" s="0" t="str">
        <f aca="false">IF(Partidos!E24="","",IF(D47="G",3,IF(D47="E",1,0)))</f>
        <v/>
      </c>
    </row>
    <row r="48" customFormat="false" ht="15" hidden="false" customHeight="false" outlineLevel="0" collapsed="false">
      <c r="A48" s="0" t="str">
        <f aca="false">IF(Partidos!C25="","",Partidos!C25)</f>
        <v/>
      </c>
      <c r="B48" s="0" t="str">
        <f aca="false">IF(Partidos!C25="","",Partidos!D25)</f>
        <v/>
      </c>
      <c r="C48" s="0" t="str">
        <f aca="false">IF(Partidos!C25="","",Partidos!F25)</f>
        <v/>
      </c>
      <c r="D48" s="0" t="str">
        <f aca="false">IF(Partidos!C25="","",IF(Partidos!D25&gt;Partidos!F25,"G",IF(Partidos!D25=Partidos!F25,"E","P")))</f>
        <v/>
      </c>
      <c r="E48" s="0" t="str">
        <f aca="false">IF(Partidos!C25="","",IF(D48="G",3,IF(D48="E",1,0)))</f>
        <v/>
      </c>
    </row>
    <row r="49" customFormat="false" ht="15" hidden="false" customHeight="false" outlineLevel="0" collapsed="false">
      <c r="A49" s="0" t="str">
        <f aca="false">IF(Partidos!E25="","",Partidos!E25)</f>
        <v/>
      </c>
      <c r="B49" s="0" t="str">
        <f aca="false">IF(Partidos!E25="","",Partidos!F25)</f>
        <v/>
      </c>
      <c r="C49" s="0" t="str">
        <f aca="false">IF(Partidos!E25="","",Partidos!D25)</f>
        <v/>
      </c>
      <c r="D49" s="0" t="str">
        <f aca="false">IF(Partidos!E25="","",IF(Partidos!F25&gt;Partidos!D25,"G",IF(Partidos!F25=Partidos!D25,"E","P")))</f>
        <v/>
      </c>
      <c r="E49" s="0" t="str">
        <f aca="false">IF(Partidos!E25="","",IF(D49="G",3,IF(D49="E",1,0)))</f>
        <v/>
      </c>
    </row>
    <row r="50" customFormat="false" ht="15" hidden="false" customHeight="false" outlineLevel="0" collapsed="false">
      <c r="A50" s="0" t="str">
        <f aca="false">IF(Partidos!C26="","",Partidos!C26)</f>
        <v/>
      </c>
      <c r="B50" s="0" t="str">
        <f aca="false">IF(Partidos!C26="","",Partidos!D26)</f>
        <v/>
      </c>
      <c r="C50" s="0" t="str">
        <f aca="false">IF(Partidos!C26="","",Partidos!F26)</f>
        <v/>
      </c>
      <c r="D50" s="0" t="str">
        <f aca="false">IF(Partidos!C26="","",IF(Partidos!D26&gt;Partidos!F26,"G",IF(Partidos!D26=Partidos!F26,"E","P")))</f>
        <v/>
      </c>
      <c r="E50" s="0" t="str">
        <f aca="false">IF(Partidos!C26="","",IF(D50="G",3,IF(D50="E",1,0)))</f>
        <v/>
      </c>
    </row>
    <row r="51" customFormat="false" ht="15" hidden="false" customHeight="false" outlineLevel="0" collapsed="false">
      <c r="A51" s="0" t="str">
        <f aca="false">IF(Partidos!E26="","",Partidos!E26)</f>
        <v/>
      </c>
      <c r="B51" s="0" t="str">
        <f aca="false">IF(Partidos!E26="","",Partidos!F26)</f>
        <v/>
      </c>
      <c r="C51" s="0" t="str">
        <f aca="false">IF(Partidos!E26="","",Partidos!D26)</f>
        <v/>
      </c>
      <c r="D51" s="0" t="str">
        <f aca="false">IF(Partidos!E26="","",IF(Partidos!F26&gt;Partidos!D26,"G",IF(Partidos!F26=Partidos!D26,"E","P")))</f>
        <v/>
      </c>
      <c r="E51" s="0" t="str">
        <f aca="false">IF(Partidos!E26="","",IF(D51="G",3,IF(D51="E",1,0)))</f>
        <v/>
      </c>
    </row>
    <row r="52" customFormat="false" ht="15" hidden="false" customHeight="false" outlineLevel="0" collapsed="false">
      <c r="A52" s="0" t="str">
        <f aca="false">IF(Partidos!C27="","",Partidos!C27)</f>
        <v/>
      </c>
      <c r="B52" s="0" t="str">
        <f aca="false">IF(Partidos!C27="","",Partidos!D27)</f>
        <v/>
      </c>
      <c r="C52" s="0" t="str">
        <f aca="false">IF(Partidos!C27="","",Partidos!F27)</f>
        <v/>
      </c>
      <c r="D52" s="0" t="str">
        <f aca="false">IF(Partidos!C27="","",IF(Partidos!D27&gt;Partidos!F27,"G",IF(Partidos!D27=Partidos!F27,"E","P")))</f>
        <v/>
      </c>
      <c r="E52" s="0" t="str">
        <f aca="false">IF(Partidos!C27="","",IF(D52="G",3,IF(D52="E",1,0)))</f>
        <v/>
      </c>
    </row>
    <row r="53" customFormat="false" ht="15" hidden="false" customHeight="false" outlineLevel="0" collapsed="false">
      <c r="A53" s="0" t="str">
        <f aca="false">IF(Partidos!E27="","",Partidos!E27)</f>
        <v/>
      </c>
      <c r="B53" s="0" t="str">
        <f aca="false">IF(Partidos!E27="","",Partidos!F27)</f>
        <v/>
      </c>
      <c r="C53" s="0" t="str">
        <f aca="false">IF(Partidos!E27="","",Partidos!D27)</f>
        <v/>
      </c>
      <c r="D53" s="0" t="str">
        <f aca="false">IF(Partidos!E27="","",IF(Partidos!F27&gt;Partidos!D27,"G",IF(Partidos!F27=Partidos!D27,"E","P")))</f>
        <v/>
      </c>
      <c r="E53" s="0" t="str">
        <f aca="false">IF(Partidos!E27="","",IF(D53="G",3,IF(D53="E",1,0)))</f>
        <v/>
      </c>
    </row>
    <row r="54" customFormat="false" ht="15" hidden="false" customHeight="false" outlineLevel="0" collapsed="false">
      <c r="A54" s="0" t="str">
        <f aca="false">IF(Partidos!C28="","",Partidos!C28)</f>
        <v/>
      </c>
      <c r="B54" s="0" t="str">
        <f aca="false">IF(Partidos!C28="","",Partidos!D28)</f>
        <v/>
      </c>
      <c r="C54" s="0" t="str">
        <f aca="false">IF(Partidos!C28="","",Partidos!F28)</f>
        <v/>
      </c>
      <c r="D54" s="0" t="str">
        <f aca="false">IF(Partidos!C28="","",IF(Partidos!D28&gt;Partidos!F28,"G",IF(Partidos!D28=Partidos!F28,"E","P")))</f>
        <v/>
      </c>
      <c r="E54" s="0" t="str">
        <f aca="false">IF(Partidos!C28="","",IF(D54="G",3,IF(D54="E",1,0)))</f>
        <v/>
      </c>
    </row>
    <row r="55" customFormat="false" ht="15" hidden="false" customHeight="false" outlineLevel="0" collapsed="false">
      <c r="A55" s="0" t="str">
        <f aca="false">IF(Partidos!E28="","",Partidos!E28)</f>
        <v/>
      </c>
      <c r="B55" s="0" t="str">
        <f aca="false">IF(Partidos!E28="","",Partidos!F28)</f>
        <v/>
      </c>
      <c r="C55" s="0" t="str">
        <f aca="false">IF(Partidos!E28="","",Partidos!D28)</f>
        <v/>
      </c>
      <c r="D55" s="0" t="str">
        <f aca="false">IF(Partidos!E28="","",IF(Partidos!F28&gt;Partidos!D28,"G",IF(Partidos!F28=Partidos!D28,"E","P")))</f>
        <v/>
      </c>
      <c r="E55" s="0" t="str">
        <f aca="false">IF(Partidos!E28="","",IF(D55="G",3,IF(D55="E",1,0)))</f>
        <v/>
      </c>
    </row>
    <row r="56" customFormat="false" ht="15" hidden="false" customHeight="false" outlineLevel="0" collapsed="false">
      <c r="A56" s="0" t="str">
        <f aca="false">IF(Partidos!C29="","",Partidos!C29)</f>
        <v/>
      </c>
      <c r="B56" s="0" t="str">
        <f aca="false">IF(Partidos!C29="","",Partidos!D29)</f>
        <v/>
      </c>
      <c r="C56" s="0" t="str">
        <f aca="false">IF(Partidos!C29="","",Partidos!F29)</f>
        <v/>
      </c>
      <c r="D56" s="0" t="str">
        <f aca="false">IF(Partidos!C29="","",IF(Partidos!D29&gt;Partidos!F29,"G",IF(Partidos!D29=Partidos!F29,"E","P")))</f>
        <v/>
      </c>
      <c r="E56" s="0" t="str">
        <f aca="false">IF(Partidos!C29="","",IF(D56="G",3,IF(D56="E",1,0)))</f>
        <v/>
      </c>
    </row>
    <row r="57" customFormat="false" ht="15" hidden="false" customHeight="false" outlineLevel="0" collapsed="false">
      <c r="A57" s="0" t="str">
        <f aca="false">IF(Partidos!E29="","",Partidos!E29)</f>
        <v/>
      </c>
      <c r="B57" s="0" t="str">
        <f aca="false">IF(Partidos!E29="","",Partidos!F29)</f>
        <v/>
      </c>
      <c r="C57" s="0" t="str">
        <f aca="false">IF(Partidos!E29="","",Partidos!D29)</f>
        <v/>
      </c>
      <c r="D57" s="0" t="str">
        <f aca="false">IF(Partidos!E29="","",IF(Partidos!F29&gt;Partidos!D29,"G",IF(Partidos!F29=Partidos!D29,"E","P")))</f>
        <v/>
      </c>
      <c r="E57" s="0" t="str">
        <f aca="false">IF(Partidos!E29="","",IF(D57="G",3,IF(D57="E",1,0)))</f>
        <v/>
      </c>
    </row>
    <row r="58" customFormat="false" ht="15" hidden="false" customHeight="false" outlineLevel="0" collapsed="false">
      <c r="A58" s="0" t="str">
        <f aca="false">IF(Partidos!C30="","",Partidos!C30)</f>
        <v/>
      </c>
      <c r="B58" s="0" t="str">
        <f aca="false">IF(Partidos!C30="","",Partidos!D30)</f>
        <v/>
      </c>
      <c r="C58" s="0" t="str">
        <f aca="false">IF(Partidos!C30="","",Partidos!F30)</f>
        <v/>
      </c>
      <c r="D58" s="0" t="str">
        <f aca="false">IF(Partidos!C30="","",IF(Partidos!D30&gt;Partidos!F30,"G",IF(Partidos!D30=Partidos!F30,"E","P")))</f>
        <v/>
      </c>
      <c r="E58" s="0" t="str">
        <f aca="false">IF(Partidos!C30="","",IF(D58="G",3,IF(D58="E",1,0)))</f>
        <v/>
      </c>
    </row>
    <row r="59" customFormat="false" ht="15" hidden="false" customHeight="false" outlineLevel="0" collapsed="false">
      <c r="A59" s="0" t="str">
        <f aca="false">IF(Partidos!E30="","",Partidos!E30)</f>
        <v/>
      </c>
      <c r="B59" s="0" t="str">
        <f aca="false">IF(Partidos!E30="","",Partidos!F30)</f>
        <v/>
      </c>
      <c r="C59" s="0" t="str">
        <f aca="false">IF(Partidos!E30="","",Partidos!D30)</f>
        <v/>
      </c>
      <c r="D59" s="0" t="str">
        <f aca="false">IF(Partidos!E30="","",IF(Partidos!F30&gt;Partidos!D30,"G",IF(Partidos!F30=Partidos!D30,"E","P")))</f>
        <v/>
      </c>
      <c r="E59" s="0" t="str">
        <f aca="false">IF(Partidos!E30="","",IF(D59="G",3,IF(D59="E",1,0)))</f>
        <v/>
      </c>
    </row>
    <row r="60" customFormat="false" ht="15" hidden="false" customHeight="false" outlineLevel="0" collapsed="false">
      <c r="A60" s="0" t="str">
        <f aca="false">IF(Partidos!C31="","",Partidos!C31)</f>
        <v/>
      </c>
      <c r="B60" s="0" t="str">
        <f aca="false">IF(Partidos!C31="","",Partidos!D31)</f>
        <v/>
      </c>
      <c r="C60" s="0" t="str">
        <f aca="false">IF(Partidos!C31="","",Partidos!F31)</f>
        <v/>
      </c>
      <c r="D60" s="0" t="str">
        <f aca="false">IF(Partidos!C31="","",IF(Partidos!D31&gt;Partidos!F31,"G",IF(Partidos!D31=Partidos!F31,"E","P")))</f>
        <v/>
      </c>
      <c r="E60" s="0" t="str">
        <f aca="false">IF(Partidos!C31="","",IF(D60="G",3,IF(D60="E",1,0)))</f>
        <v/>
      </c>
    </row>
    <row r="61" customFormat="false" ht="15" hidden="false" customHeight="false" outlineLevel="0" collapsed="false">
      <c r="A61" s="0" t="str">
        <f aca="false">IF(Partidos!E31="","",Partidos!E31)</f>
        <v/>
      </c>
      <c r="B61" s="0" t="str">
        <f aca="false">IF(Partidos!E31="","",Partidos!F31)</f>
        <v/>
      </c>
      <c r="C61" s="0" t="str">
        <f aca="false">IF(Partidos!E31="","",Partidos!D31)</f>
        <v/>
      </c>
      <c r="D61" s="0" t="str">
        <f aca="false">IF(Partidos!E31="","",IF(Partidos!F31&gt;Partidos!D31,"G",IF(Partidos!F31=Partidos!D31,"E","P")))</f>
        <v/>
      </c>
      <c r="E61" s="0" t="str">
        <f aca="false">IF(Partidos!E31="","",IF(D61="G",3,IF(D61="E",1,0)))</f>
        <v/>
      </c>
    </row>
    <row r="62" customFormat="false" ht="15" hidden="false" customHeight="false" outlineLevel="0" collapsed="false">
      <c r="A62" s="0" t="str">
        <f aca="false">IF(Partidos!C32="","",Partidos!C32)</f>
        <v/>
      </c>
      <c r="B62" s="0" t="str">
        <f aca="false">IF(Partidos!C32="","",Partidos!D32)</f>
        <v/>
      </c>
      <c r="C62" s="0" t="str">
        <f aca="false">IF(Partidos!C32="","",Partidos!F32)</f>
        <v/>
      </c>
      <c r="D62" s="0" t="str">
        <f aca="false">IF(Partidos!C32="","",IF(Partidos!D32&gt;Partidos!F32,"G",IF(Partidos!D32=Partidos!F32,"E","P")))</f>
        <v/>
      </c>
      <c r="E62" s="0" t="str">
        <f aca="false">IF(Partidos!C32="","",IF(D62="G",3,IF(D62="E",1,0)))</f>
        <v/>
      </c>
    </row>
    <row r="63" customFormat="false" ht="15" hidden="false" customHeight="false" outlineLevel="0" collapsed="false">
      <c r="A63" s="0" t="str">
        <f aca="false">IF(Partidos!E32="","",Partidos!E32)</f>
        <v/>
      </c>
      <c r="B63" s="0" t="str">
        <f aca="false">IF(Partidos!E32="","",Partidos!F32)</f>
        <v/>
      </c>
      <c r="C63" s="0" t="str">
        <f aca="false">IF(Partidos!E32="","",Partidos!D32)</f>
        <v/>
      </c>
      <c r="D63" s="0" t="str">
        <f aca="false">IF(Partidos!E32="","",IF(Partidos!F32&gt;Partidos!D32,"G",IF(Partidos!F32=Partidos!D32,"E","P")))</f>
        <v/>
      </c>
      <c r="E63" s="0" t="str">
        <f aca="false">IF(Partidos!E32="","",IF(D63="G",3,IF(D63="E",1,0)))</f>
        <v/>
      </c>
    </row>
    <row r="64" customFormat="false" ht="15" hidden="false" customHeight="false" outlineLevel="0" collapsed="false">
      <c r="A64" s="0" t="str">
        <f aca="false">IF(Partidos!C33="","",Partidos!C33)</f>
        <v/>
      </c>
      <c r="B64" s="0" t="str">
        <f aca="false">IF(Partidos!C33="","",Partidos!D33)</f>
        <v/>
      </c>
      <c r="C64" s="0" t="str">
        <f aca="false">IF(Partidos!C33="","",Partidos!F33)</f>
        <v/>
      </c>
      <c r="D64" s="0" t="str">
        <f aca="false">IF(Partidos!C33="","",IF(Partidos!D33&gt;Partidos!F33,"G",IF(Partidos!D33=Partidos!F33,"E","P")))</f>
        <v/>
      </c>
      <c r="E64" s="0" t="str">
        <f aca="false">IF(Partidos!C33="","",IF(D64="G",3,IF(D64="E",1,0)))</f>
        <v/>
      </c>
    </row>
    <row r="65" customFormat="false" ht="15" hidden="false" customHeight="false" outlineLevel="0" collapsed="false">
      <c r="A65" s="0" t="str">
        <f aca="false">IF(Partidos!E33="","",Partidos!E33)</f>
        <v/>
      </c>
      <c r="B65" s="0" t="str">
        <f aca="false">IF(Partidos!E33="","",Partidos!F33)</f>
        <v/>
      </c>
      <c r="C65" s="0" t="str">
        <f aca="false">IF(Partidos!E33="","",Partidos!D33)</f>
        <v/>
      </c>
      <c r="D65" s="0" t="str">
        <f aca="false">IF(Partidos!E33="","",IF(Partidos!F33&gt;Partidos!D33,"G",IF(Partidos!F33=Partidos!D33,"E","P")))</f>
        <v/>
      </c>
      <c r="E65" s="0" t="str">
        <f aca="false">IF(Partidos!E33="","",IF(D65="G",3,IF(D65="E",1,0)))</f>
        <v/>
      </c>
    </row>
    <row r="66" customFormat="false" ht="15" hidden="false" customHeight="false" outlineLevel="0" collapsed="false">
      <c r="A66" s="0" t="str">
        <f aca="false">IF(Partidos!C34="","",Partidos!C34)</f>
        <v/>
      </c>
      <c r="B66" s="0" t="str">
        <f aca="false">IF(Partidos!C34="","",Partidos!D34)</f>
        <v/>
      </c>
      <c r="C66" s="0" t="str">
        <f aca="false">IF(Partidos!C34="","",Partidos!F34)</f>
        <v/>
      </c>
      <c r="D66" s="0" t="str">
        <f aca="false">IF(Partidos!C34="","",IF(Partidos!D34&gt;Partidos!F34,"G",IF(Partidos!D34=Partidos!F34,"E","P")))</f>
        <v/>
      </c>
      <c r="E66" s="0" t="str">
        <f aca="false">IF(Partidos!C34="","",IF(D66="G",3,IF(D66="E",1,0)))</f>
        <v/>
      </c>
    </row>
    <row r="67" customFormat="false" ht="15" hidden="false" customHeight="false" outlineLevel="0" collapsed="false">
      <c r="A67" s="0" t="str">
        <f aca="false">IF(Partidos!E34="","",Partidos!E34)</f>
        <v/>
      </c>
      <c r="B67" s="0" t="str">
        <f aca="false">IF(Partidos!E34="","",Partidos!F34)</f>
        <v/>
      </c>
      <c r="C67" s="0" t="str">
        <f aca="false">IF(Partidos!E34="","",Partidos!D34)</f>
        <v/>
      </c>
      <c r="D67" s="0" t="str">
        <f aca="false">IF(Partidos!E34="","",IF(Partidos!F34&gt;Partidos!D34,"G",IF(Partidos!F34=Partidos!D34,"E","P")))</f>
        <v/>
      </c>
      <c r="E67" s="0" t="str">
        <f aca="false">IF(Partidos!E34="","",IF(D67="G",3,IF(D67="E",1,0)))</f>
        <v/>
      </c>
    </row>
    <row r="68" customFormat="false" ht="15" hidden="false" customHeight="false" outlineLevel="0" collapsed="false">
      <c r="A68" s="0" t="str">
        <f aca="false">IF(Partidos!C35="","",Partidos!C35)</f>
        <v/>
      </c>
      <c r="B68" s="0" t="str">
        <f aca="false">IF(Partidos!C35="","",Partidos!D35)</f>
        <v/>
      </c>
      <c r="C68" s="0" t="str">
        <f aca="false">IF(Partidos!C35="","",Partidos!F35)</f>
        <v/>
      </c>
      <c r="D68" s="0" t="str">
        <f aca="false">IF(Partidos!C35="","",IF(Partidos!D35&gt;Partidos!F35,"G",IF(Partidos!D35=Partidos!F35,"E","P")))</f>
        <v/>
      </c>
      <c r="E68" s="0" t="str">
        <f aca="false">IF(Partidos!C35="","",IF(D68="G",3,IF(D68="E",1,0)))</f>
        <v/>
      </c>
    </row>
    <row r="69" customFormat="false" ht="15" hidden="false" customHeight="false" outlineLevel="0" collapsed="false">
      <c r="A69" s="0" t="str">
        <f aca="false">IF(Partidos!E35="","",Partidos!E35)</f>
        <v/>
      </c>
      <c r="B69" s="0" t="str">
        <f aca="false">IF(Partidos!E35="","",Partidos!F35)</f>
        <v/>
      </c>
      <c r="C69" s="0" t="str">
        <f aca="false">IF(Partidos!E35="","",Partidos!D35)</f>
        <v/>
      </c>
      <c r="D69" s="0" t="str">
        <f aca="false">IF(Partidos!E35="","",IF(Partidos!F35&gt;Partidos!D35,"G",IF(Partidos!F35=Partidos!D35,"E","P")))</f>
        <v/>
      </c>
      <c r="E69" s="0" t="str">
        <f aca="false">IF(Partidos!E35="","",IF(D69="G",3,IF(D69="E",1,0)))</f>
        <v/>
      </c>
    </row>
    <row r="70" customFormat="false" ht="15" hidden="false" customHeight="false" outlineLevel="0" collapsed="false">
      <c r="A70" s="0" t="str">
        <f aca="false">IF(Partidos!C36="","",Partidos!C36)</f>
        <v/>
      </c>
      <c r="B70" s="0" t="str">
        <f aca="false">IF(Partidos!C36="","",Partidos!D36)</f>
        <v/>
      </c>
      <c r="C70" s="0" t="str">
        <f aca="false">IF(Partidos!C36="","",Partidos!F36)</f>
        <v/>
      </c>
      <c r="D70" s="0" t="str">
        <f aca="false">IF(Partidos!C36="","",IF(Partidos!D36&gt;Partidos!F36,"G",IF(Partidos!D36=Partidos!F36,"E","P")))</f>
        <v/>
      </c>
      <c r="E70" s="0" t="str">
        <f aca="false">IF(Partidos!C36="","",IF(D70="G",3,IF(D70="E",1,0)))</f>
        <v/>
      </c>
    </row>
    <row r="71" customFormat="false" ht="15" hidden="false" customHeight="false" outlineLevel="0" collapsed="false">
      <c r="A71" s="0" t="str">
        <f aca="false">IF(Partidos!E36="","",Partidos!E36)</f>
        <v/>
      </c>
      <c r="B71" s="0" t="str">
        <f aca="false">IF(Partidos!E36="","",Partidos!F36)</f>
        <v/>
      </c>
      <c r="C71" s="0" t="str">
        <f aca="false">IF(Partidos!E36="","",Partidos!D36)</f>
        <v/>
      </c>
      <c r="D71" s="0" t="str">
        <f aca="false">IF(Partidos!E36="","",IF(Partidos!F36&gt;Partidos!D36,"G",IF(Partidos!F36=Partidos!D36,"E","P")))</f>
        <v/>
      </c>
      <c r="E71" s="0" t="str">
        <f aca="false">IF(Partidos!E36="","",IF(D71="G",3,IF(D71="E",1,0)))</f>
        <v/>
      </c>
    </row>
    <row r="72" customFormat="false" ht="15" hidden="false" customHeight="false" outlineLevel="0" collapsed="false">
      <c r="A72" s="0" t="str">
        <f aca="false">IF(Partidos!C37="","",Partidos!C37)</f>
        <v/>
      </c>
      <c r="B72" s="0" t="str">
        <f aca="false">IF(Partidos!C37="","",Partidos!D37)</f>
        <v/>
      </c>
      <c r="C72" s="0" t="str">
        <f aca="false">IF(Partidos!C37="","",Partidos!F37)</f>
        <v/>
      </c>
      <c r="D72" s="0" t="str">
        <f aca="false">IF(Partidos!C37="","",IF(Partidos!D37&gt;Partidos!F37,"G",IF(Partidos!D37=Partidos!F37,"E","P")))</f>
        <v/>
      </c>
      <c r="E72" s="0" t="str">
        <f aca="false">IF(Partidos!C37="","",IF(D72="G",3,IF(D72="E",1,0)))</f>
        <v/>
      </c>
    </row>
    <row r="73" customFormat="false" ht="15" hidden="false" customHeight="false" outlineLevel="0" collapsed="false">
      <c r="A73" s="0" t="str">
        <f aca="false">IF(Partidos!E37="","",Partidos!E37)</f>
        <v/>
      </c>
      <c r="B73" s="0" t="str">
        <f aca="false">IF(Partidos!E37="","",Partidos!F37)</f>
        <v/>
      </c>
      <c r="C73" s="0" t="str">
        <f aca="false">IF(Partidos!E37="","",Partidos!D37)</f>
        <v/>
      </c>
      <c r="D73" s="0" t="str">
        <f aca="false">IF(Partidos!E37="","",IF(Partidos!F37&gt;Partidos!D37,"G",IF(Partidos!F37=Partidos!D37,"E","P")))</f>
        <v/>
      </c>
      <c r="E73" s="0" t="str">
        <f aca="false">IF(Partidos!E37="","",IF(D73="G",3,IF(D73="E",1,0)))</f>
        <v/>
      </c>
    </row>
    <row r="74" customFormat="false" ht="15" hidden="false" customHeight="false" outlineLevel="0" collapsed="false">
      <c r="A74" s="0" t="str">
        <f aca="false">IF(Partidos!C38="","",Partidos!C38)</f>
        <v/>
      </c>
      <c r="B74" s="0" t="str">
        <f aca="false">IF(Partidos!C38="","",Partidos!D38)</f>
        <v/>
      </c>
      <c r="C74" s="0" t="str">
        <f aca="false">IF(Partidos!C38="","",Partidos!F38)</f>
        <v/>
      </c>
      <c r="D74" s="0" t="str">
        <f aca="false">IF(Partidos!C38="","",IF(Partidos!D38&gt;Partidos!F38,"G",IF(Partidos!D38=Partidos!F38,"E","P")))</f>
        <v/>
      </c>
      <c r="E74" s="0" t="str">
        <f aca="false">IF(Partidos!C38="","",IF(D74="G",3,IF(D74="E",1,0)))</f>
        <v/>
      </c>
    </row>
    <row r="75" customFormat="false" ht="15" hidden="false" customHeight="false" outlineLevel="0" collapsed="false">
      <c r="A75" s="0" t="str">
        <f aca="false">IF(Partidos!E38="","",Partidos!E38)</f>
        <v/>
      </c>
      <c r="B75" s="0" t="str">
        <f aca="false">IF(Partidos!E38="","",Partidos!F38)</f>
        <v/>
      </c>
      <c r="C75" s="0" t="str">
        <f aca="false">IF(Partidos!E38="","",Partidos!D38)</f>
        <v/>
      </c>
      <c r="D75" s="0" t="str">
        <f aca="false">IF(Partidos!E38="","",IF(Partidos!F38&gt;Partidos!D38,"G",IF(Partidos!F38=Partidos!D38,"E","P")))</f>
        <v/>
      </c>
      <c r="E75" s="0" t="str">
        <f aca="false">IF(Partidos!E38="","",IF(D75="G",3,IF(D75="E",1,0)))</f>
        <v/>
      </c>
    </row>
    <row r="76" customFormat="false" ht="15" hidden="false" customHeight="false" outlineLevel="0" collapsed="false">
      <c r="A76" s="0" t="str">
        <f aca="false">IF(Partidos!C39="","",Partidos!C39)</f>
        <v/>
      </c>
      <c r="B76" s="0" t="str">
        <f aca="false">IF(Partidos!C39="","",Partidos!D39)</f>
        <v/>
      </c>
      <c r="C76" s="0" t="str">
        <f aca="false">IF(Partidos!C39="","",Partidos!F39)</f>
        <v/>
      </c>
      <c r="D76" s="0" t="str">
        <f aca="false">IF(Partidos!C39="","",IF(Partidos!D39&gt;Partidos!F39,"G",IF(Partidos!D39=Partidos!F39,"E","P")))</f>
        <v/>
      </c>
      <c r="E76" s="0" t="str">
        <f aca="false">IF(Partidos!C39="","",IF(D76="G",3,IF(D76="E",1,0)))</f>
        <v/>
      </c>
    </row>
    <row r="77" customFormat="false" ht="15" hidden="false" customHeight="false" outlineLevel="0" collapsed="false">
      <c r="A77" s="0" t="str">
        <f aca="false">IF(Partidos!E39="","",Partidos!E39)</f>
        <v/>
      </c>
      <c r="B77" s="0" t="str">
        <f aca="false">IF(Partidos!E39="","",Partidos!F39)</f>
        <v/>
      </c>
      <c r="C77" s="0" t="str">
        <f aca="false">IF(Partidos!E39="","",Partidos!D39)</f>
        <v/>
      </c>
      <c r="D77" s="0" t="str">
        <f aca="false">IF(Partidos!E39="","",IF(Partidos!F39&gt;Partidos!D39,"G",IF(Partidos!F39=Partidos!D39,"E","P")))</f>
        <v/>
      </c>
      <c r="E77" s="0" t="str">
        <f aca="false">IF(Partidos!E39="","",IF(D77="G",3,IF(D77="E",1,0)))</f>
        <v/>
      </c>
    </row>
    <row r="78" customFormat="false" ht="15" hidden="false" customHeight="false" outlineLevel="0" collapsed="false">
      <c r="A78" s="0" t="str">
        <f aca="false">IF(Partidos!C40="","",Partidos!C40)</f>
        <v/>
      </c>
      <c r="B78" s="0" t="str">
        <f aca="false">IF(Partidos!C40="","",Partidos!D40)</f>
        <v/>
      </c>
      <c r="C78" s="0" t="str">
        <f aca="false">IF(Partidos!C40="","",Partidos!F40)</f>
        <v/>
      </c>
      <c r="D78" s="0" t="str">
        <f aca="false">IF(Partidos!C40="","",IF(Partidos!D40&gt;Partidos!F40,"G",IF(Partidos!D40=Partidos!F40,"E","P")))</f>
        <v/>
      </c>
      <c r="E78" s="0" t="str">
        <f aca="false">IF(Partidos!C40="","",IF(D78="G",3,IF(D78="E",1,0)))</f>
        <v/>
      </c>
    </row>
    <row r="79" customFormat="false" ht="15" hidden="false" customHeight="false" outlineLevel="0" collapsed="false">
      <c r="A79" s="0" t="str">
        <f aca="false">IF(Partidos!E40="","",Partidos!E40)</f>
        <v/>
      </c>
      <c r="B79" s="0" t="str">
        <f aca="false">IF(Partidos!E40="","",Partidos!F40)</f>
        <v/>
      </c>
      <c r="C79" s="0" t="str">
        <f aca="false">IF(Partidos!E40="","",Partidos!D40)</f>
        <v/>
      </c>
      <c r="D79" s="0" t="str">
        <f aca="false">IF(Partidos!E40="","",IF(Partidos!F40&gt;Partidos!D40,"G",IF(Partidos!F40=Partidos!D40,"E","P")))</f>
        <v/>
      </c>
      <c r="E79" s="0" t="str">
        <f aca="false">IF(Partidos!E40="","",IF(D79="G",3,IF(D79="E",1,0)))</f>
        <v/>
      </c>
    </row>
    <row r="80" customFormat="false" ht="15" hidden="false" customHeight="false" outlineLevel="0" collapsed="false">
      <c r="A80" s="0" t="str">
        <f aca="false">IF(Partidos!C41="","",Partidos!C41)</f>
        <v/>
      </c>
      <c r="B80" s="0" t="str">
        <f aca="false">IF(Partidos!C41="","",Partidos!D41)</f>
        <v/>
      </c>
      <c r="C80" s="0" t="str">
        <f aca="false">IF(Partidos!C41="","",Partidos!F41)</f>
        <v/>
      </c>
      <c r="D80" s="0" t="str">
        <f aca="false">IF(Partidos!C41="","",IF(Partidos!D41&gt;Partidos!F41,"G",IF(Partidos!D41=Partidos!F41,"E","P")))</f>
        <v/>
      </c>
      <c r="E80" s="0" t="str">
        <f aca="false">IF(Partidos!C41="","",IF(D80="G",3,IF(D80="E",1,0)))</f>
        <v/>
      </c>
    </row>
    <row r="81" customFormat="false" ht="15" hidden="false" customHeight="false" outlineLevel="0" collapsed="false">
      <c r="A81" s="0" t="str">
        <f aca="false">IF(Partidos!E41="","",Partidos!E41)</f>
        <v/>
      </c>
      <c r="B81" s="0" t="str">
        <f aca="false">IF(Partidos!E41="","",Partidos!F41)</f>
        <v/>
      </c>
      <c r="C81" s="0" t="str">
        <f aca="false">IF(Partidos!E41="","",Partidos!D41)</f>
        <v/>
      </c>
      <c r="D81" s="0" t="str">
        <f aca="false">IF(Partidos!E41="","",IF(Partidos!F41&gt;Partidos!D41,"G",IF(Partidos!F41=Partidos!D41,"E","P")))</f>
        <v/>
      </c>
      <c r="E81" s="0" t="str">
        <f aca="false">IF(Partidos!E41="","",IF(D81="G",3,IF(D81="E",1,0)))</f>
        <v/>
      </c>
    </row>
    <row r="82" customFormat="false" ht="15" hidden="false" customHeight="false" outlineLevel="0" collapsed="false">
      <c r="A82" s="0" t="str">
        <f aca="false">IF(Partidos!C42="","",Partidos!C42)</f>
        <v/>
      </c>
      <c r="B82" s="0" t="str">
        <f aca="false">IF(Partidos!C42="","",Partidos!D42)</f>
        <v/>
      </c>
      <c r="C82" s="0" t="str">
        <f aca="false">IF(Partidos!C42="","",Partidos!F42)</f>
        <v/>
      </c>
      <c r="D82" s="0" t="str">
        <f aca="false">IF(Partidos!C42="","",IF(Partidos!D42&gt;Partidos!F42,"G",IF(Partidos!D42=Partidos!F42,"E","P")))</f>
        <v/>
      </c>
      <c r="E82" s="0" t="str">
        <f aca="false">IF(Partidos!C42="","",IF(D82="G",3,IF(D82="E",1,0)))</f>
        <v/>
      </c>
    </row>
    <row r="83" customFormat="false" ht="15" hidden="false" customHeight="false" outlineLevel="0" collapsed="false">
      <c r="A83" s="0" t="str">
        <f aca="false">IF(Partidos!E42="","",Partidos!E42)</f>
        <v/>
      </c>
      <c r="B83" s="0" t="str">
        <f aca="false">IF(Partidos!E42="","",Partidos!F42)</f>
        <v/>
      </c>
      <c r="C83" s="0" t="str">
        <f aca="false">IF(Partidos!E42="","",Partidos!D42)</f>
        <v/>
      </c>
      <c r="D83" s="0" t="str">
        <f aca="false">IF(Partidos!E42="","",IF(Partidos!F42&gt;Partidos!D42,"G",IF(Partidos!F42=Partidos!D42,"E","P")))</f>
        <v/>
      </c>
      <c r="E83" s="0" t="str">
        <f aca="false">IF(Partidos!E42="","",IF(D83="G",3,IF(D83="E",1,0)))</f>
        <v/>
      </c>
    </row>
    <row r="84" customFormat="false" ht="15" hidden="false" customHeight="false" outlineLevel="0" collapsed="false">
      <c r="A84" s="0" t="str">
        <f aca="false">IF(Partidos!C43="","",Partidos!C43)</f>
        <v/>
      </c>
      <c r="B84" s="0" t="str">
        <f aca="false">IF(Partidos!C43="","",Partidos!D43)</f>
        <v/>
      </c>
      <c r="C84" s="0" t="str">
        <f aca="false">IF(Partidos!C43="","",Partidos!F43)</f>
        <v/>
      </c>
      <c r="D84" s="0" t="str">
        <f aca="false">IF(Partidos!C43="","",IF(Partidos!D43&gt;Partidos!F43,"G",IF(Partidos!D43=Partidos!F43,"E","P")))</f>
        <v/>
      </c>
      <c r="E84" s="0" t="str">
        <f aca="false">IF(Partidos!C43="","",IF(D84="G",3,IF(D84="E",1,0)))</f>
        <v/>
      </c>
    </row>
    <row r="85" customFormat="false" ht="15" hidden="false" customHeight="false" outlineLevel="0" collapsed="false">
      <c r="A85" s="0" t="str">
        <f aca="false">IF(Partidos!E43="","",Partidos!E43)</f>
        <v/>
      </c>
      <c r="B85" s="0" t="str">
        <f aca="false">IF(Partidos!E43="","",Partidos!F43)</f>
        <v/>
      </c>
      <c r="C85" s="0" t="str">
        <f aca="false">IF(Partidos!E43="","",Partidos!D43)</f>
        <v/>
      </c>
      <c r="D85" s="0" t="str">
        <f aca="false">IF(Partidos!E43="","",IF(Partidos!F43&gt;Partidos!D43,"G",IF(Partidos!F43=Partidos!D43,"E","P")))</f>
        <v/>
      </c>
      <c r="E85" s="0" t="str">
        <f aca="false">IF(Partidos!E43="","",IF(D85="G",3,IF(D85="E",1,0)))</f>
        <v/>
      </c>
    </row>
    <row r="86" customFormat="false" ht="15" hidden="false" customHeight="false" outlineLevel="0" collapsed="false">
      <c r="A86" s="0" t="str">
        <f aca="false">IF(Partidos!C44="","",Partidos!C44)</f>
        <v/>
      </c>
      <c r="B86" s="0" t="str">
        <f aca="false">IF(Partidos!C44="","",Partidos!D44)</f>
        <v/>
      </c>
      <c r="C86" s="0" t="str">
        <f aca="false">IF(Partidos!C44="","",Partidos!F44)</f>
        <v/>
      </c>
      <c r="D86" s="0" t="str">
        <f aca="false">IF(Partidos!C44="","",IF(Partidos!D44&gt;Partidos!F44,"G",IF(Partidos!D44=Partidos!F44,"E","P")))</f>
        <v/>
      </c>
      <c r="E86" s="0" t="str">
        <f aca="false">IF(Partidos!C44="","",IF(D86="G",3,IF(D86="E",1,0)))</f>
        <v/>
      </c>
    </row>
    <row r="87" customFormat="false" ht="15" hidden="false" customHeight="false" outlineLevel="0" collapsed="false">
      <c r="A87" s="0" t="str">
        <f aca="false">IF(Partidos!E44="","",Partidos!E44)</f>
        <v/>
      </c>
      <c r="B87" s="0" t="str">
        <f aca="false">IF(Partidos!E44="","",Partidos!F44)</f>
        <v/>
      </c>
      <c r="C87" s="0" t="str">
        <f aca="false">IF(Partidos!E44="","",Partidos!D44)</f>
        <v/>
      </c>
      <c r="D87" s="0" t="str">
        <f aca="false">IF(Partidos!E44="","",IF(Partidos!F44&gt;Partidos!D44,"G",IF(Partidos!F44=Partidos!D44,"E","P")))</f>
        <v/>
      </c>
      <c r="E87" s="0" t="str">
        <f aca="false">IF(Partidos!E44="","",IF(D87="G",3,IF(D87="E",1,0)))</f>
        <v/>
      </c>
    </row>
    <row r="88" customFormat="false" ht="15" hidden="false" customHeight="false" outlineLevel="0" collapsed="false">
      <c r="A88" s="0" t="str">
        <f aca="false">IF(Partidos!C45="","",Partidos!C45)</f>
        <v/>
      </c>
      <c r="B88" s="0" t="str">
        <f aca="false">IF(Partidos!C45="","",Partidos!D45)</f>
        <v/>
      </c>
      <c r="C88" s="0" t="str">
        <f aca="false">IF(Partidos!C45="","",Partidos!F45)</f>
        <v/>
      </c>
      <c r="D88" s="0" t="str">
        <f aca="false">IF(Partidos!C45="","",IF(Partidos!D45&gt;Partidos!F45,"G",IF(Partidos!D45=Partidos!F45,"E","P")))</f>
        <v/>
      </c>
      <c r="E88" s="0" t="str">
        <f aca="false">IF(Partidos!C45="","",IF(D88="G",3,IF(D88="E",1,0)))</f>
        <v/>
      </c>
    </row>
    <row r="89" customFormat="false" ht="15" hidden="false" customHeight="false" outlineLevel="0" collapsed="false">
      <c r="A89" s="0" t="str">
        <f aca="false">IF(Partidos!E45="","",Partidos!E45)</f>
        <v/>
      </c>
      <c r="B89" s="0" t="str">
        <f aca="false">IF(Partidos!E45="","",Partidos!F45)</f>
        <v/>
      </c>
      <c r="C89" s="0" t="str">
        <f aca="false">IF(Partidos!E45="","",Partidos!D45)</f>
        <v/>
      </c>
      <c r="D89" s="0" t="str">
        <f aca="false">IF(Partidos!E45="","",IF(Partidos!F45&gt;Partidos!D45,"G",IF(Partidos!F45=Partidos!D45,"E","P")))</f>
        <v/>
      </c>
      <c r="E89" s="0" t="str">
        <f aca="false">IF(Partidos!E45="","",IF(D89="G",3,IF(D89="E",1,0)))</f>
        <v/>
      </c>
    </row>
    <row r="90" customFormat="false" ht="15" hidden="false" customHeight="false" outlineLevel="0" collapsed="false">
      <c r="A90" s="0" t="str">
        <f aca="false">IF(Partidos!C46="","",Partidos!C46)</f>
        <v/>
      </c>
      <c r="B90" s="0" t="str">
        <f aca="false">IF(Partidos!C46="","",Partidos!D46)</f>
        <v/>
      </c>
      <c r="C90" s="0" t="str">
        <f aca="false">IF(Partidos!C46="","",Partidos!F46)</f>
        <v/>
      </c>
      <c r="D90" s="0" t="str">
        <f aca="false">IF(Partidos!C46="","",IF(Partidos!D46&gt;Partidos!F46,"G",IF(Partidos!D46=Partidos!F46,"E","P")))</f>
        <v/>
      </c>
      <c r="E90" s="0" t="str">
        <f aca="false">IF(Partidos!C46="","",IF(D90="G",3,IF(D90="E",1,0)))</f>
        <v/>
      </c>
    </row>
    <row r="91" customFormat="false" ht="15" hidden="false" customHeight="false" outlineLevel="0" collapsed="false">
      <c r="A91" s="0" t="str">
        <f aca="false">IF(Partidos!E46="","",Partidos!E46)</f>
        <v/>
      </c>
      <c r="B91" s="0" t="str">
        <f aca="false">IF(Partidos!E46="","",Partidos!F46)</f>
        <v/>
      </c>
      <c r="C91" s="0" t="str">
        <f aca="false">IF(Partidos!E46="","",Partidos!D46)</f>
        <v/>
      </c>
      <c r="D91" s="0" t="str">
        <f aca="false">IF(Partidos!E46="","",IF(Partidos!F46&gt;Partidos!D46,"G",IF(Partidos!F46=Partidos!D46,"E","P")))</f>
        <v/>
      </c>
      <c r="E91" s="0" t="str">
        <f aca="false">IF(Partidos!E46="","",IF(D91="G",3,IF(D91="E",1,0)))</f>
        <v/>
      </c>
    </row>
    <row r="92" customFormat="false" ht="15" hidden="false" customHeight="false" outlineLevel="0" collapsed="false">
      <c r="A92" s="0" t="str">
        <f aca="false">IF(Partidos!C47="","",Partidos!C47)</f>
        <v/>
      </c>
      <c r="B92" s="0" t="str">
        <f aca="false">IF(Partidos!C47="","",Partidos!D47)</f>
        <v/>
      </c>
      <c r="C92" s="0" t="str">
        <f aca="false">IF(Partidos!C47="","",Partidos!F47)</f>
        <v/>
      </c>
      <c r="D92" s="0" t="str">
        <f aca="false">IF(Partidos!C47="","",IF(Partidos!D47&gt;Partidos!F47,"G",IF(Partidos!D47=Partidos!F47,"E","P")))</f>
        <v/>
      </c>
      <c r="E92" s="0" t="str">
        <f aca="false">IF(Partidos!C47="","",IF(D92="G",3,IF(D92="E",1,0)))</f>
        <v/>
      </c>
    </row>
    <row r="93" customFormat="false" ht="15" hidden="false" customHeight="false" outlineLevel="0" collapsed="false">
      <c r="A93" s="0" t="str">
        <f aca="false">IF(Partidos!E47="","",Partidos!E47)</f>
        <v/>
      </c>
      <c r="B93" s="0" t="str">
        <f aca="false">IF(Partidos!E47="","",Partidos!F47)</f>
        <v/>
      </c>
      <c r="C93" s="0" t="str">
        <f aca="false">IF(Partidos!E47="","",Partidos!D47)</f>
        <v/>
      </c>
      <c r="D93" s="0" t="str">
        <f aca="false">IF(Partidos!E47="","",IF(Partidos!F47&gt;Partidos!D47,"G",IF(Partidos!F47=Partidos!D47,"E","P")))</f>
        <v/>
      </c>
      <c r="E93" s="0" t="str">
        <f aca="false">IF(Partidos!E47="","",IF(D93="G",3,IF(D93="E",1,0)))</f>
        <v/>
      </c>
    </row>
    <row r="94" customFormat="false" ht="15" hidden="false" customHeight="false" outlineLevel="0" collapsed="false">
      <c r="A94" s="0" t="str">
        <f aca="false">IF(Partidos!C48="","",Partidos!C48)</f>
        <v/>
      </c>
      <c r="B94" s="0" t="str">
        <f aca="false">IF(Partidos!C48="","",Partidos!D48)</f>
        <v/>
      </c>
      <c r="C94" s="0" t="str">
        <f aca="false">IF(Partidos!C48="","",Partidos!F48)</f>
        <v/>
      </c>
      <c r="D94" s="0" t="str">
        <f aca="false">IF(Partidos!C48="","",IF(Partidos!D48&gt;Partidos!F48,"G",IF(Partidos!D48=Partidos!F48,"E","P")))</f>
        <v/>
      </c>
      <c r="E94" s="0" t="str">
        <f aca="false">IF(Partidos!C48="","",IF(D94="G",3,IF(D94="E",1,0)))</f>
        <v/>
      </c>
    </row>
    <row r="95" customFormat="false" ht="15" hidden="false" customHeight="false" outlineLevel="0" collapsed="false">
      <c r="A95" s="0" t="str">
        <f aca="false">IF(Partidos!E48="","",Partidos!E48)</f>
        <v/>
      </c>
      <c r="B95" s="0" t="str">
        <f aca="false">IF(Partidos!E48="","",Partidos!F48)</f>
        <v/>
      </c>
      <c r="C95" s="0" t="str">
        <f aca="false">IF(Partidos!E48="","",Partidos!D48)</f>
        <v/>
      </c>
      <c r="D95" s="0" t="str">
        <f aca="false">IF(Partidos!E48="","",IF(Partidos!F48&gt;Partidos!D48,"G",IF(Partidos!F48=Partidos!D48,"E","P")))</f>
        <v/>
      </c>
      <c r="E95" s="0" t="str">
        <f aca="false">IF(Partidos!E48="","",IF(D95="G",3,IF(D95="E",1,0)))</f>
        <v/>
      </c>
    </row>
    <row r="96" customFormat="false" ht="15" hidden="false" customHeight="false" outlineLevel="0" collapsed="false">
      <c r="A96" s="0" t="str">
        <f aca="false">IF(Partidos!C49="","",Partidos!C49)</f>
        <v/>
      </c>
      <c r="B96" s="0" t="str">
        <f aca="false">IF(Partidos!C49="","",Partidos!D49)</f>
        <v/>
      </c>
      <c r="C96" s="0" t="str">
        <f aca="false">IF(Partidos!C49="","",Partidos!F49)</f>
        <v/>
      </c>
      <c r="D96" s="0" t="str">
        <f aca="false">IF(Partidos!C49="","",IF(Partidos!D49&gt;Partidos!F49,"G",IF(Partidos!D49=Partidos!F49,"E","P")))</f>
        <v/>
      </c>
      <c r="E96" s="0" t="str">
        <f aca="false">IF(Partidos!C49="","",IF(D96="G",3,IF(D96="E",1,0)))</f>
        <v/>
      </c>
    </row>
    <row r="97" customFormat="false" ht="15" hidden="false" customHeight="false" outlineLevel="0" collapsed="false">
      <c r="A97" s="0" t="str">
        <f aca="false">IF(Partidos!E49="","",Partidos!E49)</f>
        <v/>
      </c>
      <c r="B97" s="0" t="str">
        <f aca="false">IF(Partidos!E49="","",Partidos!F49)</f>
        <v/>
      </c>
      <c r="C97" s="0" t="str">
        <f aca="false">IF(Partidos!E49="","",Partidos!D49)</f>
        <v/>
      </c>
      <c r="D97" s="0" t="str">
        <f aca="false">IF(Partidos!E49="","",IF(Partidos!F49&gt;Partidos!D49,"G",IF(Partidos!F49=Partidos!D49,"E","P")))</f>
        <v/>
      </c>
      <c r="E97" s="0" t="str">
        <f aca="false">IF(Partidos!E49="","",IF(D97="G",3,IF(D97="E",1,0)))</f>
        <v/>
      </c>
    </row>
    <row r="98" customFormat="false" ht="15" hidden="false" customHeight="false" outlineLevel="0" collapsed="false">
      <c r="A98" s="0" t="str">
        <f aca="false">IF(Partidos!C50="","",Partidos!C50)</f>
        <v/>
      </c>
      <c r="B98" s="0" t="str">
        <f aca="false">IF(Partidos!C50="","",Partidos!D50)</f>
        <v/>
      </c>
      <c r="C98" s="0" t="str">
        <f aca="false">IF(Partidos!C50="","",Partidos!F50)</f>
        <v/>
      </c>
      <c r="D98" s="0" t="str">
        <f aca="false">IF(Partidos!C50="","",IF(Partidos!D50&gt;Partidos!F50,"G",IF(Partidos!D50=Partidos!F50,"E","P")))</f>
        <v/>
      </c>
      <c r="E98" s="0" t="str">
        <f aca="false">IF(Partidos!C50="","",IF(D98="G",3,IF(D98="E",1,0)))</f>
        <v/>
      </c>
    </row>
    <row r="99" customFormat="false" ht="15" hidden="false" customHeight="false" outlineLevel="0" collapsed="false">
      <c r="A99" s="0" t="str">
        <f aca="false">IF(Partidos!E50="","",Partidos!E50)</f>
        <v/>
      </c>
      <c r="B99" s="0" t="str">
        <f aca="false">IF(Partidos!E50="","",Partidos!F50)</f>
        <v/>
      </c>
      <c r="C99" s="0" t="str">
        <f aca="false">IF(Partidos!E50="","",Partidos!D50)</f>
        <v/>
      </c>
      <c r="D99" s="0" t="str">
        <f aca="false">IF(Partidos!E50="","",IF(Partidos!F50&gt;Partidos!D50,"G",IF(Partidos!F50=Partidos!D50,"E","P")))</f>
        <v/>
      </c>
      <c r="E99" s="0" t="str">
        <f aca="false">IF(Partidos!E50="","",IF(D99="G",3,IF(D99="E",1,0)))</f>
        <v/>
      </c>
    </row>
    <row r="100" customFormat="false" ht="15" hidden="false" customHeight="false" outlineLevel="0" collapsed="false">
      <c r="A100" s="0" t="str">
        <f aca="false">IF(Partidos!C51="","",Partidos!C51)</f>
        <v/>
      </c>
      <c r="B100" s="0" t="str">
        <f aca="false">IF(Partidos!C51="","",Partidos!D51)</f>
        <v/>
      </c>
      <c r="C100" s="0" t="str">
        <f aca="false">IF(Partidos!C51="","",Partidos!F51)</f>
        <v/>
      </c>
      <c r="D100" s="0" t="str">
        <f aca="false">IF(Partidos!C51="","",IF(Partidos!D51&gt;Partidos!F51,"G",IF(Partidos!D51=Partidos!F51,"E","P")))</f>
        <v/>
      </c>
      <c r="E100" s="0" t="str">
        <f aca="false">IF(Partidos!C51="","",IF(D100="G",3,IF(D100="E",1,0)))</f>
        <v/>
      </c>
    </row>
    <row r="101" customFormat="false" ht="15" hidden="false" customHeight="false" outlineLevel="0" collapsed="false">
      <c r="A101" s="0" t="str">
        <f aca="false">IF(Partidos!E51="","",Partidos!E51)</f>
        <v/>
      </c>
      <c r="B101" s="0" t="str">
        <f aca="false">IF(Partidos!E51="","",Partidos!F51)</f>
        <v/>
      </c>
      <c r="C101" s="0" t="str">
        <f aca="false">IF(Partidos!E51="","",Partidos!D51)</f>
        <v/>
      </c>
      <c r="D101" s="0" t="str">
        <f aca="false">IF(Partidos!E51="","",IF(Partidos!F51&gt;Partidos!D51,"G",IF(Partidos!F51=Partidos!D51,"E","P")))</f>
        <v/>
      </c>
      <c r="E101" s="0" t="str">
        <f aca="false">IF(Partidos!E51="","",IF(D101="G",3,IF(D101="E",1,0)))</f>
        <v/>
      </c>
    </row>
    <row r="102" customFormat="false" ht="15" hidden="false" customHeight="false" outlineLevel="0" collapsed="false">
      <c r="A102" s="0" t="str">
        <f aca="false">IF(Partidos!C52="","",Partidos!C52)</f>
        <v/>
      </c>
      <c r="B102" s="0" t="str">
        <f aca="false">IF(Partidos!C52="","",Partidos!D52)</f>
        <v/>
      </c>
      <c r="C102" s="0" t="str">
        <f aca="false">IF(Partidos!C52="","",Partidos!F52)</f>
        <v/>
      </c>
      <c r="D102" s="0" t="str">
        <f aca="false">IF(Partidos!C52="","",IF(Partidos!D52&gt;Partidos!F52,"G",IF(Partidos!D52=Partidos!F52,"E","P")))</f>
        <v/>
      </c>
      <c r="E102" s="0" t="str">
        <f aca="false">IF(Partidos!C52="","",IF(D102="G",3,IF(D102="E",1,0)))</f>
        <v/>
      </c>
    </row>
    <row r="103" customFormat="false" ht="15" hidden="false" customHeight="false" outlineLevel="0" collapsed="false">
      <c r="A103" s="0" t="str">
        <f aca="false">IF(Partidos!E52="","",Partidos!E52)</f>
        <v/>
      </c>
      <c r="B103" s="0" t="str">
        <f aca="false">IF(Partidos!E52="","",Partidos!F52)</f>
        <v/>
      </c>
      <c r="C103" s="0" t="str">
        <f aca="false">IF(Partidos!E52="","",Partidos!D52)</f>
        <v/>
      </c>
      <c r="D103" s="0" t="str">
        <f aca="false">IF(Partidos!E52="","",IF(Partidos!F52&gt;Partidos!D52,"G",IF(Partidos!F52=Partidos!D52,"E","P")))</f>
        <v/>
      </c>
      <c r="E103" s="0" t="str">
        <f aca="false">IF(Partidos!E52="","",IF(D103="G",3,IF(D103="E",1,0)))</f>
        <v/>
      </c>
    </row>
    <row r="104" customFormat="false" ht="15" hidden="false" customHeight="false" outlineLevel="0" collapsed="false">
      <c r="A104" s="0" t="str">
        <f aca="false">IF(Partidos!C53="","",Partidos!C53)</f>
        <v/>
      </c>
      <c r="B104" s="0" t="str">
        <f aca="false">IF(Partidos!C53="","",Partidos!D53)</f>
        <v/>
      </c>
      <c r="C104" s="0" t="str">
        <f aca="false">IF(Partidos!C53="","",Partidos!F53)</f>
        <v/>
      </c>
      <c r="D104" s="0" t="str">
        <f aca="false">IF(Partidos!C53="","",IF(Partidos!D53&gt;Partidos!F53,"G",IF(Partidos!D53=Partidos!F53,"E","P")))</f>
        <v/>
      </c>
      <c r="E104" s="0" t="str">
        <f aca="false">IF(Partidos!C53="","",IF(D104="G",3,IF(D104="E",1,0)))</f>
        <v/>
      </c>
    </row>
    <row r="105" customFormat="false" ht="15" hidden="false" customHeight="false" outlineLevel="0" collapsed="false">
      <c r="A105" s="0" t="str">
        <f aca="false">IF(Partidos!E53="","",Partidos!E53)</f>
        <v/>
      </c>
      <c r="B105" s="0" t="str">
        <f aca="false">IF(Partidos!E53="","",Partidos!F53)</f>
        <v/>
      </c>
      <c r="C105" s="0" t="str">
        <f aca="false">IF(Partidos!E53="","",Partidos!D53)</f>
        <v/>
      </c>
      <c r="D105" s="0" t="str">
        <f aca="false">IF(Partidos!E53="","",IF(Partidos!F53&gt;Partidos!D53,"G",IF(Partidos!F53=Partidos!D53,"E","P")))</f>
        <v/>
      </c>
      <c r="E105" s="0" t="str">
        <f aca="false">IF(Partidos!E53="","",IF(D105="G",3,IF(D105="E",1,0)))</f>
        <v/>
      </c>
    </row>
    <row r="106" customFormat="false" ht="15" hidden="false" customHeight="false" outlineLevel="0" collapsed="false">
      <c r="A106" s="0" t="str">
        <f aca="false">IF(Partidos!C54="","",Partidos!C54)</f>
        <v/>
      </c>
      <c r="B106" s="0" t="str">
        <f aca="false">IF(Partidos!C54="","",Partidos!D54)</f>
        <v/>
      </c>
      <c r="C106" s="0" t="str">
        <f aca="false">IF(Partidos!C54="","",Partidos!F54)</f>
        <v/>
      </c>
      <c r="D106" s="0" t="str">
        <f aca="false">IF(Partidos!C54="","",IF(Partidos!D54&gt;Partidos!F54,"G",IF(Partidos!D54=Partidos!F54,"E","P")))</f>
        <v/>
      </c>
      <c r="E106" s="0" t="str">
        <f aca="false">IF(Partidos!C54="","",IF(D106="G",3,IF(D106="E",1,0)))</f>
        <v/>
      </c>
    </row>
    <row r="107" customFormat="false" ht="15" hidden="false" customHeight="false" outlineLevel="0" collapsed="false">
      <c r="A107" s="0" t="str">
        <f aca="false">IF(Partidos!E54="","",Partidos!E54)</f>
        <v/>
      </c>
      <c r="B107" s="0" t="str">
        <f aca="false">IF(Partidos!E54="","",Partidos!F54)</f>
        <v/>
      </c>
      <c r="C107" s="0" t="str">
        <f aca="false">IF(Partidos!E54="","",Partidos!D54)</f>
        <v/>
      </c>
      <c r="D107" s="0" t="str">
        <f aca="false">IF(Partidos!E54="","",IF(Partidos!F54&gt;Partidos!D54,"G",IF(Partidos!F54=Partidos!D54,"E","P")))</f>
        <v/>
      </c>
      <c r="E107" s="0" t="str">
        <f aca="false">IF(Partidos!E54="","",IF(D107="G",3,IF(D107="E",1,0)))</f>
        <v/>
      </c>
    </row>
    <row r="108" customFormat="false" ht="15" hidden="false" customHeight="false" outlineLevel="0" collapsed="false">
      <c r="A108" s="0" t="str">
        <f aca="false">IF(Partidos!C55="","",Partidos!C55)</f>
        <v/>
      </c>
      <c r="B108" s="0" t="str">
        <f aca="false">IF(Partidos!C55="","",Partidos!D55)</f>
        <v/>
      </c>
      <c r="C108" s="0" t="str">
        <f aca="false">IF(Partidos!C55="","",Partidos!F55)</f>
        <v/>
      </c>
      <c r="D108" s="0" t="str">
        <f aca="false">IF(Partidos!C55="","",IF(Partidos!D55&gt;Partidos!F55,"G",IF(Partidos!D55=Partidos!F55,"E","P")))</f>
        <v/>
      </c>
      <c r="E108" s="0" t="str">
        <f aca="false">IF(Partidos!C55="","",IF(D108="G",3,IF(D108="E",1,0)))</f>
        <v/>
      </c>
    </row>
    <row r="109" customFormat="false" ht="15" hidden="false" customHeight="false" outlineLevel="0" collapsed="false">
      <c r="A109" s="0" t="str">
        <f aca="false">IF(Partidos!E55="","",Partidos!E55)</f>
        <v/>
      </c>
      <c r="B109" s="0" t="str">
        <f aca="false">IF(Partidos!E55="","",Partidos!F55)</f>
        <v/>
      </c>
      <c r="C109" s="0" t="str">
        <f aca="false">IF(Partidos!E55="","",Partidos!D55)</f>
        <v/>
      </c>
      <c r="D109" s="0" t="str">
        <f aca="false">IF(Partidos!E55="","",IF(Partidos!F55&gt;Partidos!D55,"G",IF(Partidos!F55=Partidos!D55,"E","P")))</f>
        <v/>
      </c>
      <c r="E109" s="0" t="str">
        <f aca="false">IF(Partidos!E55="","",IF(D109="G",3,IF(D109="E",1,0)))</f>
        <v/>
      </c>
    </row>
    <row r="110" customFormat="false" ht="15" hidden="false" customHeight="false" outlineLevel="0" collapsed="false">
      <c r="A110" s="0" t="str">
        <f aca="false">IF(Partidos!C56="","",Partidos!C56)</f>
        <v/>
      </c>
      <c r="B110" s="0" t="str">
        <f aca="false">IF(Partidos!C56="","",Partidos!D56)</f>
        <v/>
      </c>
      <c r="C110" s="0" t="str">
        <f aca="false">IF(Partidos!C56="","",Partidos!F56)</f>
        <v/>
      </c>
      <c r="D110" s="0" t="str">
        <f aca="false">IF(Partidos!C56="","",IF(Partidos!D56&gt;Partidos!F56,"G",IF(Partidos!D56=Partidos!F56,"E","P")))</f>
        <v/>
      </c>
      <c r="E110" s="0" t="str">
        <f aca="false">IF(Partidos!C56="","",IF(D110="G",3,IF(D110="E",1,0)))</f>
        <v/>
      </c>
    </row>
    <row r="111" customFormat="false" ht="15" hidden="false" customHeight="false" outlineLevel="0" collapsed="false">
      <c r="A111" s="0" t="str">
        <f aca="false">IF(Partidos!E56="","",Partidos!E56)</f>
        <v/>
      </c>
      <c r="B111" s="0" t="str">
        <f aca="false">IF(Partidos!E56="","",Partidos!F56)</f>
        <v/>
      </c>
      <c r="C111" s="0" t="str">
        <f aca="false">IF(Partidos!E56="","",Partidos!D56)</f>
        <v/>
      </c>
      <c r="D111" s="0" t="str">
        <f aca="false">IF(Partidos!E56="","",IF(Partidos!F56&gt;Partidos!D56,"G",IF(Partidos!F56=Partidos!D56,"E","P")))</f>
        <v/>
      </c>
      <c r="E111" s="0" t="str">
        <f aca="false">IF(Partidos!E56="","",IF(D111="G",3,IF(D111="E",1,0)))</f>
        <v/>
      </c>
    </row>
    <row r="112" customFormat="false" ht="15" hidden="false" customHeight="false" outlineLevel="0" collapsed="false">
      <c r="A112" s="0" t="str">
        <f aca="false">IF(Partidos!C57="","",Partidos!C57)</f>
        <v/>
      </c>
      <c r="B112" s="0" t="str">
        <f aca="false">IF(Partidos!C57="","",Partidos!D57)</f>
        <v/>
      </c>
      <c r="C112" s="0" t="str">
        <f aca="false">IF(Partidos!C57="","",Partidos!F57)</f>
        <v/>
      </c>
      <c r="D112" s="0" t="str">
        <f aca="false">IF(Partidos!C57="","",IF(Partidos!D57&gt;Partidos!F57,"G",IF(Partidos!D57=Partidos!F57,"E","P")))</f>
        <v/>
      </c>
      <c r="E112" s="0" t="str">
        <f aca="false">IF(Partidos!C57="","",IF(D112="G",3,IF(D112="E",1,0)))</f>
        <v/>
      </c>
    </row>
    <row r="113" customFormat="false" ht="15" hidden="false" customHeight="false" outlineLevel="0" collapsed="false">
      <c r="A113" s="0" t="str">
        <f aca="false">IF(Partidos!E57="","",Partidos!E57)</f>
        <v/>
      </c>
      <c r="B113" s="0" t="str">
        <f aca="false">IF(Partidos!E57="","",Partidos!F57)</f>
        <v/>
      </c>
      <c r="C113" s="0" t="str">
        <f aca="false">IF(Partidos!E57="","",Partidos!D57)</f>
        <v/>
      </c>
      <c r="D113" s="0" t="str">
        <f aca="false">IF(Partidos!E57="","",IF(Partidos!F57&gt;Partidos!D57,"G",IF(Partidos!F57=Partidos!D57,"E","P")))</f>
        <v/>
      </c>
      <c r="E113" s="0" t="str">
        <f aca="false">IF(Partidos!E57="","",IF(D113="G",3,IF(D113="E",1,0)))</f>
        <v/>
      </c>
    </row>
    <row r="114" customFormat="false" ht="15" hidden="false" customHeight="false" outlineLevel="0" collapsed="false">
      <c r="A114" s="0" t="str">
        <f aca="false">IF(Partidos!C58="","",Partidos!C58)</f>
        <v/>
      </c>
      <c r="B114" s="0" t="str">
        <f aca="false">IF(Partidos!C58="","",Partidos!D58)</f>
        <v/>
      </c>
      <c r="C114" s="0" t="str">
        <f aca="false">IF(Partidos!C58="","",Partidos!F58)</f>
        <v/>
      </c>
      <c r="D114" s="0" t="str">
        <f aca="false">IF(Partidos!C58="","",IF(Partidos!D58&gt;Partidos!F58,"G",IF(Partidos!D58=Partidos!F58,"E","P")))</f>
        <v/>
      </c>
      <c r="E114" s="0" t="str">
        <f aca="false">IF(Partidos!C58="","",IF(D114="G",3,IF(D114="E",1,0)))</f>
        <v/>
      </c>
    </row>
    <row r="115" customFormat="false" ht="15" hidden="false" customHeight="false" outlineLevel="0" collapsed="false">
      <c r="A115" s="0" t="str">
        <f aca="false">IF(Partidos!E58="","",Partidos!E58)</f>
        <v/>
      </c>
      <c r="B115" s="0" t="str">
        <f aca="false">IF(Partidos!E58="","",Partidos!F58)</f>
        <v/>
      </c>
      <c r="C115" s="0" t="str">
        <f aca="false">IF(Partidos!E58="","",Partidos!D58)</f>
        <v/>
      </c>
      <c r="D115" s="0" t="str">
        <f aca="false">IF(Partidos!E58="","",IF(Partidos!F58&gt;Partidos!D58,"G",IF(Partidos!F58=Partidos!D58,"E","P")))</f>
        <v/>
      </c>
      <c r="E115" s="0" t="str">
        <f aca="false">IF(Partidos!E58="","",IF(D115="G",3,IF(D115="E",1,0)))</f>
        <v/>
      </c>
    </row>
    <row r="116" customFormat="false" ht="15" hidden="false" customHeight="false" outlineLevel="0" collapsed="false">
      <c r="A116" s="0" t="str">
        <f aca="false">IF(Partidos!C59="","",Partidos!C59)</f>
        <v/>
      </c>
      <c r="B116" s="0" t="str">
        <f aca="false">IF(Partidos!C59="","",Partidos!D59)</f>
        <v/>
      </c>
      <c r="C116" s="0" t="str">
        <f aca="false">IF(Partidos!C59="","",Partidos!F59)</f>
        <v/>
      </c>
      <c r="D116" s="0" t="str">
        <f aca="false">IF(Partidos!C59="","",IF(Partidos!D59&gt;Partidos!F59,"G",IF(Partidos!D59=Partidos!F59,"E","P")))</f>
        <v/>
      </c>
      <c r="E116" s="0" t="str">
        <f aca="false">IF(Partidos!C59="","",IF(D116="G",3,IF(D116="E",1,0)))</f>
        <v/>
      </c>
    </row>
    <row r="117" customFormat="false" ht="15" hidden="false" customHeight="false" outlineLevel="0" collapsed="false">
      <c r="A117" s="0" t="str">
        <f aca="false">IF(Partidos!E59="","",Partidos!E59)</f>
        <v/>
      </c>
      <c r="B117" s="0" t="str">
        <f aca="false">IF(Partidos!E59="","",Partidos!F59)</f>
        <v/>
      </c>
      <c r="C117" s="0" t="str">
        <f aca="false">IF(Partidos!E59="","",Partidos!D59)</f>
        <v/>
      </c>
      <c r="D117" s="0" t="str">
        <f aca="false">IF(Partidos!E59="","",IF(Partidos!F59&gt;Partidos!D59,"G",IF(Partidos!F59=Partidos!D59,"E","P")))</f>
        <v/>
      </c>
      <c r="E117" s="0" t="str">
        <f aca="false">IF(Partidos!E59="","",IF(D117="G",3,IF(D117="E",1,0)))</f>
        <v/>
      </c>
    </row>
    <row r="118" customFormat="false" ht="15" hidden="false" customHeight="false" outlineLevel="0" collapsed="false">
      <c r="A118" s="0" t="str">
        <f aca="false">IF(Partidos!C60="","",Partidos!C60)</f>
        <v/>
      </c>
      <c r="B118" s="0" t="str">
        <f aca="false">IF(Partidos!C60="","",Partidos!D60)</f>
        <v/>
      </c>
      <c r="C118" s="0" t="str">
        <f aca="false">IF(Partidos!C60="","",Partidos!F60)</f>
        <v/>
      </c>
      <c r="D118" s="0" t="str">
        <f aca="false">IF(Partidos!C60="","",IF(Partidos!D60&gt;Partidos!F60,"G",IF(Partidos!D60=Partidos!F60,"E","P")))</f>
        <v/>
      </c>
      <c r="E118" s="0" t="str">
        <f aca="false">IF(Partidos!C60="","",IF(D118="G",3,IF(D118="E",1,0)))</f>
        <v/>
      </c>
    </row>
    <row r="119" customFormat="false" ht="15" hidden="false" customHeight="false" outlineLevel="0" collapsed="false">
      <c r="A119" s="0" t="str">
        <f aca="false">IF(Partidos!E60="","",Partidos!E60)</f>
        <v/>
      </c>
      <c r="B119" s="0" t="str">
        <f aca="false">IF(Partidos!E60="","",Partidos!F60)</f>
        <v/>
      </c>
      <c r="C119" s="0" t="str">
        <f aca="false">IF(Partidos!E60="","",Partidos!D60)</f>
        <v/>
      </c>
      <c r="D119" s="0" t="str">
        <f aca="false">IF(Partidos!E60="","",IF(Partidos!F60&gt;Partidos!D60,"G",IF(Partidos!F60=Partidos!D60,"E","P")))</f>
        <v/>
      </c>
      <c r="E119" s="0" t="str">
        <f aca="false">IF(Partidos!E60="","",IF(D119="G",3,IF(D119="E",1,0)))</f>
        <v/>
      </c>
    </row>
    <row r="120" customFormat="false" ht="15" hidden="false" customHeight="false" outlineLevel="0" collapsed="false">
      <c r="A120" s="0" t="str">
        <f aca="false">IF(Partidos!C61="","",Partidos!C61)</f>
        <v/>
      </c>
      <c r="B120" s="0" t="str">
        <f aca="false">IF(Partidos!C61="","",Partidos!D61)</f>
        <v/>
      </c>
      <c r="C120" s="0" t="str">
        <f aca="false">IF(Partidos!C61="","",Partidos!F61)</f>
        <v/>
      </c>
      <c r="D120" s="0" t="str">
        <f aca="false">IF(Partidos!C61="","",IF(Partidos!D61&gt;Partidos!F61,"G",IF(Partidos!D61=Partidos!F61,"E","P")))</f>
        <v/>
      </c>
      <c r="E120" s="0" t="str">
        <f aca="false">IF(Partidos!C61="","",IF(D120="G",3,IF(D120="E",1,0)))</f>
        <v/>
      </c>
    </row>
    <row r="121" customFormat="false" ht="15" hidden="false" customHeight="false" outlineLevel="0" collapsed="false">
      <c r="A121" s="0" t="str">
        <f aca="false">IF(Partidos!E61="","",Partidos!E61)</f>
        <v/>
      </c>
      <c r="B121" s="0" t="str">
        <f aca="false">IF(Partidos!E61="","",Partidos!F61)</f>
        <v/>
      </c>
      <c r="C121" s="0" t="str">
        <f aca="false">IF(Partidos!E61="","",Partidos!D61)</f>
        <v/>
      </c>
      <c r="D121" s="0" t="str">
        <f aca="false">IF(Partidos!E61="","",IF(Partidos!F61&gt;Partidos!D61,"G",IF(Partidos!F61=Partidos!D61,"E","P")))</f>
        <v/>
      </c>
      <c r="E121" s="0" t="str">
        <f aca="false">IF(Partidos!E61="","",IF(D121="G",3,IF(D121="E",1,0)))</f>
        <v/>
      </c>
    </row>
    <row r="122" customFormat="false" ht="15" hidden="false" customHeight="false" outlineLevel="0" collapsed="false">
      <c r="A122" s="0" t="str">
        <f aca="false">IF(Partidos!C62="","",Partidos!C62)</f>
        <v/>
      </c>
      <c r="B122" s="0" t="str">
        <f aca="false">IF(Partidos!C62="","",Partidos!D62)</f>
        <v/>
      </c>
      <c r="C122" s="0" t="str">
        <f aca="false">IF(Partidos!C62="","",Partidos!F62)</f>
        <v/>
      </c>
      <c r="D122" s="0" t="str">
        <f aca="false">IF(Partidos!C62="","",IF(Partidos!D62&gt;Partidos!F62,"G",IF(Partidos!D62=Partidos!F62,"E","P")))</f>
        <v/>
      </c>
      <c r="E122" s="0" t="str">
        <f aca="false">IF(Partidos!C62="","",IF(D122="G",3,IF(D122="E",1,0)))</f>
        <v/>
      </c>
    </row>
    <row r="123" customFormat="false" ht="15" hidden="false" customHeight="false" outlineLevel="0" collapsed="false">
      <c r="A123" s="0" t="str">
        <f aca="false">IF(Partidos!E62="","",Partidos!E62)</f>
        <v/>
      </c>
      <c r="B123" s="0" t="str">
        <f aca="false">IF(Partidos!E62="","",Partidos!F62)</f>
        <v/>
      </c>
      <c r="C123" s="0" t="str">
        <f aca="false">IF(Partidos!E62="","",Partidos!D62)</f>
        <v/>
      </c>
      <c r="D123" s="0" t="str">
        <f aca="false">IF(Partidos!E62="","",IF(Partidos!F62&gt;Partidos!D62,"G",IF(Partidos!F62=Partidos!D62,"E","P")))</f>
        <v/>
      </c>
      <c r="E123" s="0" t="str">
        <f aca="false">IF(Partidos!E62="","",IF(D123="G",3,IF(D123="E",1,0)))</f>
        <v/>
      </c>
    </row>
    <row r="124" customFormat="false" ht="15" hidden="false" customHeight="false" outlineLevel="0" collapsed="false">
      <c r="A124" s="0" t="str">
        <f aca="false">IF(Partidos!C63="","",Partidos!C63)</f>
        <v/>
      </c>
      <c r="B124" s="0" t="str">
        <f aca="false">IF(Partidos!C63="","",Partidos!D63)</f>
        <v/>
      </c>
      <c r="C124" s="0" t="str">
        <f aca="false">IF(Partidos!C63="","",Partidos!F63)</f>
        <v/>
      </c>
      <c r="D124" s="0" t="str">
        <f aca="false">IF(Partidos!C63="","",IF(Partidos!D63&gt;Partidos!F63,"G",IF(Partidos!D63=Partidos!F63,"E","P")))</f>
        <v/>
      </c>
      <c r="E124" s="0" t="str">
        <f aca="false">IF(Partidos!C63="","",IF(D124="G",3,IF(D124="E",1,0)))</f>
        <v/>
      </c>
    </row>
    <row r="125" customFormat="false" ht="15" hidden="false" customHeight="false" outlineLevel="0" collapsed="false">
      <c r="A125" s="0" t="str">
        <f aca="false">IF(Partidos!E63="","",Partidos!E63)</f>
        <v/>
      </c>
      <c r="B125" s="0" t="str">
        <f aca="false">IF(Partidos!E63="","",Partidos!F63)</f>
        <v/>
      </c>
      <c r="C125" s="0" t="str">
        <f aca="false">IF(Partidos!E63="","",Partidos!D63)</f>
        <v/>
      </c>
      <c r="D125" s="0" t="str">
        <f aca="false">IF(Partidos!E63="","",IF(Partidos!F63&gt;Partidos!D63,"G",IF(Partidos!F63=Partidos!D63,"E","P")))</f>
        <v/>
      </c>
      <c r="E125" s="0" t="str">
        <f aca="false">IF(Partidos!E63="","",IF(D125="G",3,IF(D125="E",1,0)))</f>
        <v/>
      </c>
    </row>
    <row r="126" customFormat="false" ht="15" hidden="false" customHeight="false" outlineLevel="0" collapsed="false">
      <c r="A126" s="0" t="str">
        <f aca="false">IF(Partidos!C64="","",Partidos!C64)</f>
        <v/>
      </c>
      <c r="B126" s="0" t="str">
        <f aca="false">IF(Partidos!C64="","",Partidos!D64)</f>
        <v/>
      </c>
      <c r="C126" s="0" t="str">
        <f aca="false">IF(Partidos!C64="","",Partidos!F64)</f>
        <v/>
      </c>
      <c r="D126" s="0" t="str">
        <f aca="false">IF(Partidos!C64="","",IF(Partidos!D64&gt;Partidos!F64,"G",IF(Partidos!D64=Partidos!F64,"E","P")))</f>
        <v/>
      </c>
      <c r="E126" s="0" t="str">
        <f aca="false">IF(Partidos!C64="","",IF(D126="G",3,IF(D126="E",1,0)))</f>
        <v/>
      </c>
    </row>
    <row r="127" customFormat="false" ht="15" hidden="false" customHeight="false" outlineLevel="0" collapsed="false">
      <c r="A127" s="0" t="str">
        <f aca="false">IF(Partidos!E64="","",Partidos!E64)</f>
        <v/>
      </c>
      <c r="B127" s="0" t="str">
        <f aca="false">IF(Partidos!E64="","",Partidos!F64)</f>
        <v/>
      </c>
      <c r="C127" s="0" t="str">
        <f aca="false">IF(Partidos!E64="","",Partidos!D64)</f>
        <v/>
      </c>
      <c r="D127" s="0" t="str">
        <f aca="false">IF(Partidos!E64="","",IF(Partidos!F64&gt;Partidos!D64,"G",IF(Partidos!F64=Partidos!D64,"E","P")))</f>
        <v/>
      </c>
      <c r="E127" s="0" t="str">
        <f aca="false">IF(Partidos!E64="","",IF(D127="G",3,IF(D127="E",1,0)))</f>
        <v/>
      </c>
    </row>
    <row r="128" customFormat="false" ht="15" hidden="false" customHeight="false" outlineLevel="0" collapsed="false">
      <c r="A128" s="0" t="str">
        <f aca="false">IF(Partidos!C65="","",Partidos!C65)</f>
        <v/>
      </c>
      <c r="B128" s="0" t="str">
        <f aca="false">IF(Partidos!C65="","",Partidos!D65)</f>
        <v/>
      </c>
      <c r="C128" s="0" t="str">
        <f aca="false">IF(Partidos!C65="","",Partidos!F65)</f>
        <v/>
      </c>
      <c r="D128" s="0" t="str">
        <f aca="false">IF(Partidos!C65="","",IF(Partidos!D65&gt;Partidos!F65,"G",IF(Partidos!D65=Partidos!F65,"E","P")))</f>
        <v/>
      </c>
      <c r="E128" s="0" t="str">
        <f aca="false">IF(Partidos!C65="","",IF(D128="G",3,IF(D128="E",1,0)))</f>
        <v/>
      </c>
    </row>
    <row r="129" customFormat="false" ht="15" hidden="false" customHeight="false" outlineLevel="0" collapsed="false">
      <c r="A129" s="0" t="str">
        <f aca="false">IF(Partidos!E65="","",Partidos!E65)</f>
        <v/>
      </c>
      <c r="B129" s="0" t="str">
        <f aca="false">IF(Partidos!E65="","",Partidos!F65)</f>
        <v/>
      </c>
      <c r="C129" s="0" t="str">
        <f aca="false">IF(Partidos!E65="","",Partidos!D65)</f>
        <v/>
      </c>
      <c r="D129" s="0" t="str">
        <f aca="false">IF(Partidos!E65="","",IF(Partidos!F65&gt;Partidos!D65,"G",IF(Partidos!F65=Partidos!D65,"E","P")))</f>
        <v/>
      </c>
      <c r="E129" s="0" t="str">
        <f aca="false">IF(Partidos!E65="","",IF(D129="G",3,IF(D129="E",1,0)))</f>
        <v/>
      </c>
    </row>
    <row r="130" customFormat="false" ht="15" hidden="false" customHeight="false" outlineLevel="0" collapsed="false">
      <c r="A130" s="0" t="str">
        <f aca="false">IF(Partidos!C66="","",Partidos!C66)</f>
        <v/>
      </c>
      <c r="B130" s="0" t="str">
        <f aca="false">IF(Partidos!C66="","",Partidos!D66)</f>
        <v/>
      </c>
      <c r="C130" s="0" t="str">
        <f aca="false">IF(Partidos!C66="","",Partidos!F66)</f>
        <v/>
      </c>
      <c r="D130" s="0" t="str">
        <f aca="false">IF(Partidos!C66="","",IF(Partidos!D66&gt;Partidos!F66,"G",IF(Partidos!D66=Partidos!F66,"E","P")))</f>
        <v/>
      </c>
      <c r="E130" s="0" t="str">
        <f aca="false">IF(Partidos!C66="","",IF(D130="G",3,IF(D130="E",1,0)))</f>
        <v/>
      </c>
    </row>
    <row r="131" customFormat="false" ht="15" hidden="false" customHeight="false" outlineLevel="0" collapsed="false">
      <c r="A131" s="0" t="str">
        <f aca="false">IF(Partidos!E66="","",Partidos!E66)</f>
        <v/>
      </c>
      <c r="B131" s="0" t="str">
        <f aca="false">IF(Partidos!E66="","",Partidos!F66)</f>
        <v/>
      </c>
      <c r="C131" s="0" t="str">
        <f aca="false">IF(Partidos!E66="","",Partidos!D66)</f>
        <v/>
      </c>
      <c r="D131" s="0" t="str">
        <f aca="false">IF(Partidos!E66="","",IF(Partidos!F66&gt;Partidos!D66,"G",IF(Partidos!F66=Partidos!D66,"E","P")))</f>
        <v/>
      </c>
      <c r="E131" s="0" t="str">
        <f aca="false">IF(Partidos!E66="","",IF(D131="G",3,IF(D131="E",1,0)))</f>
        <v/>
      </c>
    </row>
    <row r="132" customFormat="false" ht="15" hidden="false" customHeight="false" outlineLevel="0" collapsed="false">
      <c r="A132" s="0" t="str">
        <f aca="false">IF(Partidos!C67="","",Partidos!C67)</f>
        <v/>
      </c>
      <c r="B132" s="0" t="str">
        <f aca="false">IF(Partidos!C67="","",Partidos!D67)</f>
        <v/>
      </c>
      <c r="C132" s="0" t="str">
        <f aca="false">IF(Partidos!C67="","",Partidos!F67)</f>
        <v/>
      </c>
      <c r="D132" s="0" t="str">
        <f aca="false">IF(Partidos!C67="","",IF(Partidos!D67&gt;Partidos!F67,"G",IF(Partidos!D67=Partidos!F67,"E","P")))</f>
        <v/>
      </c>
      <c r="E132" s="0" t="str">
        <f aca="false">IF(Partidos!C67="","",IF(D132="G",3,IF(D132="E",1,0)))</f>
        <v/>
      </c>
    </row>
    <row r="133" customFormat="false" ht="15" hidden="false" customHeight="false" outlineLevel="0" collapsed="false">
      <c r="A133" s="0" t="str">
        <f aca="false">IF(Partidos!E67="","",Partidos!E67)</f>
        <v/>
      </c>
      <c r="B133" s="0" t="str">
        <f aca="false">IF(Partidos!E67="","",Partidos!F67)</f>
        <v/>
      </c>
      <c r="C133" s="0" t="str">
        <f aca="false">IF(Partidos!E67="","",Partidos!D67)</f>
        <v/>
      </c>
      <c r="D133" s="0" t="str">
        <f aca="false">IF(Partidos!E67="","",IF(Partidos!F67&gt;Partidos!D67,"G",IF(Partidos!F67=Partidos!D67,"E","P")))</f>
        <v/>
      </c>
      <c r="E133" s="0" t="str">
        <f aca="false">IF(Partidos!E67="","",IF(D133="G",3,IF(D133="E",1,0)))</f>
        <v/>
      </c>
    </row>
    <row r="134" customFormat="false" ht="15" hidden="false" customHeight="false" outlineLevel="0" collapsed="false">
      <c r="A134" s="0" t="str">
        <f aca="false">IF(Partidos!C68="","",Partidos!C68)</f>
        <v/>
      </c>
      <c r="B134" s="0" t="str">
        <f aca="false">IF(Partidos!C68="","",Partidos!D68)</f>
        <v/>
      </c>
      <c r="C134" s="0" t="str">
        <f aca="false">IF(Partidos!C68="","",Partidos!F68)</f>
        <v/>
      </c>
      <c r="D134" s="0" t="str">
        <f aca="false">IF(Partidos!C68="","",IF(Partidos!D68&gt;Partidos!F68,"G",IF(Partidos!D68=Partidos!F68,"E","P")))</f>
        <v/>
      </c>
      <c r="E134" s="0" t="str">
        <f aca="false">IF(Partidos!C68="","",IF(D134="G",3,IF(D134="E",1,0)))</f>
        <v/>
      </c>
    </row>
    <row r="135" customFormat="false" ht="15" hidden="false" customHeight="false" outlineLevel="0" collapsed="false">
      <c r="A135" s="0" t="str">
        <f aca="false">IF(Partidos!E68="","",Partidos!E68)</f>
        <v/>
      </c>
      <c r="B135" s="0" t="str">
        <f aca="false">IF(Partidos!E68="","",Partidos!F68)</f>
        <v/>
      </c>
      <c r="C135" s="0" t="str">
        <f aca="false">IF(Partidos!E68="","",Partidos!D68)</f>
        <v/>
      </c>
      <c r="D135" s="0" t="str">
        <f aca="false">IF(Partidos!E68="","",IF(Partidos!F68&gt;Partidos!D68,"G",IF(Partidos!F68=Partidos!D68,"E","P")))</f>
        <v/>
      </c>
      <c r="E135" s="0" t="str">
        <f aca="false">IF(Partidos!E68="","",IF(D135="G",3,IF(D135="E",1,0)))</f>
        <v/>
      </c>
    </row>
    <row r="136" customFormat="false" ht="15" hidden="false" customHeight="false" outlineLevel="0" collapsed="false">
      <c r="A136" s="0" t="str">
        <f aca="false">IF(Partidos!C69="","",Partidos!C69)</f>
        <v/>
      </c>
      <c r="B136" s="0" t="str">
        <f aca="false">IF(Partidos!C69="","",Partidos!D69)</f>
        <v/>
      </c>
      <c r="C136" s="0" t="str">
        <f aca="false">IF(Partidos!C69="","",Partidos!F69)</f>
        <v/>
      </c>
      <c r="D136" s="0" t="str">
        <f aca="false">IF(Partidos!C69="","",IF(Partidos!D69&gt;Partidos!F69,"G",IF(Partidos!D69=Partidos!F69,"E","P")))</f>
        <v/>
      </c>
      <c r="E136" s="0" t="str">
        <f aca="false">IF(Partidos!C69="","",IF(D136="G",3,IF(D136="E",1,0)))</f>
        <v/>
      </c>
    </row>
    <row r="137" customFormat="false" ht="15" hidden="false" customHeight="false" outlineLevel="0" collapsed="false">
      <c r="A137" s="0" t="str">
        <f aca="false">IF(Partidos!E69="","",Partidos!E69)</f>
        <v/>
      </c>
      <c r="B137" s="0" t="str">
        <f aca="false">IF(Partidos!E69="","",Partidos!F69)</f>
        <v/>
      </c>
      <c r="C137" s="0" t="str">
        <f aca="false">IF(Partidos!E69="","",Partidos!D69)</f>
        <v/>
      </c>
      <c r="D137" s="0" t="str">
        <f aca="false">IF(Partidos!E69="","",IF(Partidos!F69&gt;Partidos!D69,"G",IF(Partidos!F69=Partidos!D69,"E","P")))</f>
        <v/>
      </c>
      <c r="E137" s="0" t="str">
        <f aca="false">IF(Partidos!E69="","",IF(D137="G",3,IF(D137="E",1,0)))</f>
        <v/>
      </c>
    </row>
    <row r="138" customFormat="false" ht="15" hidden="false" customHeight="false" outlineLevel="0" collapsed="false">
      <c r="A138" s="0" t="str">
        <f aca="false">IF(Partidos!C70="","",Partidos!C70)</f>
        <v/>
      </c>
      <c r="B138" s="0" t="str">
        <f aca="false">IF(Partidos!C70="","",Partidos!D70)</f>
        <v/>
      </c>
      <c r="C138" s="0" t="str">
        <f aca="false">IF(Partidos!C70="","",Partidos!F70)</f>
        <v/>
      </c>
      <c r="D138" s="0" t="str">
        <f aca="false">IF(Partidos!C70="","",IF(Partidos!D70&gt;Partidos!F70,"G",IF(Partidos!D70=Partidos!F70,"E","P")))</f>
        <v/>
      </c>
      <c r="E138" s="0" t="str">
        <f aca="false">IF(Partidos!C70="","",IF(D138="G",3,IF(D138="E",1,0)))</f>
        <v/>
      </c>
    </row>
    <row r="139" customFormat="false" ht="15" hidden="false" customHeight="false" outlineLevel="0" collapsed="false">
      <c r="A139" s="0" t="str">
        <f aca="false">IF(Partidos!E70="","",Partidos!E70)</f>
        <v/>
      </c>
      <c r="B139" s="0" t="str">
        <f aca="false">IF(Partidos!E70="","",Partidos!F70)</f>
        <v/>
      </c>
      <c r="C139" s="0" t="str">
        <f aca="false">IF(Partidos!E70="","",Partidos!D70)</f>
        <v/>
      </c>
      <c r="D139" s="0" t="str">
        <f aca="false">IF(Partidos!E70="","",IF(Partidos!F70&gt;Partidos!D70,"G",IF(Partidos!F70=Partidos!D70,"E","P")))</f>
        <v/>
      </c>
      <c r="E139" s="0" t="str">
        <f aca="false">IF(Partidos!E70="","",IF(D139="G",3,IF(D139="E",1,0)))</f>
        <v/>
      </c>
    </row>
    <row r="140" customFormat="false" ht="15" hidden="false" customHeight="false" outlineLevel="0" collapsed="false">
      <c r="A140" s="0" t="str">
        <f aca="false">IF(Partidos!C71="","",Partidos!C71)</f>
        <v/>
      </c>
      <c r="B140" s="0" t="str">
        <f aca="false">IF(Partidos!C71="","",Partidos!D71)</f>
        <v/>
      </c>
      <c r="C140" s="0" t="str">
        <f aca="false">IF(Partidos!C71="","",Partidos!F71)</f>
        <v/>
      </c>
      <c r="D140" s="0" t="str">
        <f aca="false">IF(Partidos!C71="","",IF(Partidos!D71&gt;Partidos!F71,"G",IF(Partidos!D71=Partidos!F71,"E","P")))</f>
        <v/>
      </c>
      <c r="E140" s="0" t="str">
        <f aca="false">IF(Partidos!C71="","",IF(D140="G",3,IF(D140="E",1,0)))</f>
        <v/>
      </c>
    </row>
    <row r="141" customFormat="false" ht="15" hidden="false" customHeight="false" outlineLevel="0" collapsed="false">
      <c r="A141" s="0" t="str">
        <f aca="false">IF(Partidos!E71="","",Partidos!E71)</f>
        <v/>
      </c>
      <c r="B141" s="0" t="str">
        <f aca="false">IF(Partidos!E71="","",Partidos!F71)</f>
        <v/>
      </c>
      <c r="C141" s="0" t="str">
        <f aca="false">IF(Partidos!E71="","",Partidos!D71)</f>
        <v/>
      </c>
      <c r="D141" s="0" t="str">
        <f aca="false">IF(Partidos!E71="","",IF(Partidos!F71&gt;Partidos!D71,"G",IF(Partidos!F71=Partidos!D71,"E","P")))</f>
        <v/>
      </c>
      <c r="E141" s="0" t="str">
        <f aca="false">IF(Partidos!E71="","",IF(D141="G",3,IF(D141="E",1,0)))</f>
        <v/>
      </c>
    </row>
    <row r="142" customFormat="false" ht="15" hidden="false" customHeight="false" outlineLevel="0" collapsed="false">
      <c r="A142" s="0" t="str">
        <f aca="false">IF(Partidos!C72="","",Partidos!C72)</f>
        <v/>
      </c>
      <c r="B142" s="0" t="str">
        <f aca="false">IF(Partidos!C72="","",Partidos!D72)</f>
        <v/>
      </c>
      <c r="C142" s="0" t="str">
        <f aca="false">IF(Partidos!C72="","",Partidos!F72)</f>
        <v/>
      </c>
      <c r="D142" s="0" t="str">
        <f aca="false">IF(Partidos!C72="","",IF(Partidos!D72&gt;Partidos!F72,"G",IF(Partidos!D72=Partidos!F72,"E","P")))</f>
        <v/>
      </c>
      <c r="E142" s="0" t="str">
        <f aca="false">IF(Partidos!C72="","",IF(D142="G",3,IF(D142="E",1,0)))</f>
        <v/>
      </c>
    </row>
    <row r="143" customFormat="false" ht="15" hidden="false" customHeight="false" outlineLevel="0" collapsed="false">
      <c r="A143" s="0" t="str">
        <f aca="false">IF(Partidos!E72="","",Partidos!E72)</f>
        <v/>
      </c>
      <c r="B143" s="0" t="str">
        <f aca="false">IF(Partidos!E72="","",Partidos!F72)</f>
        <v/>
      </c>
      <c r="C143" s="0" t="str">
        <f aca="false">IF(Partidos!E72="","",Partidos!D72)</f>
        <v/>
      </c>
      <c r="D143" s="0" t="str">
        <f aca="false">IF(Partidos!E72="","",IF(Partidos!F72&gt;Partidos!D72,"G",IF(Partidos!F72=Partidos!D72,"E","P")))</f>
        <v/>
      </c>
      <c r="E143" s="0" t="str">
        <f aca="false">IF(Partidos!E72="","",IF(D143="G",3,IF(D143="E",1,0)))</f>
        <v/>
      </c>
    </row>
    <row r="144" customFormat="false" ht="15" hidden="false" customHeight="false" outlineLevel="0" collapsed="false">
      <c r="A144" s="0" t="str">
        <f aca="false">IF(Partidos!C73="","",Partidos!C73)</f>
        <v/>
      </c>
      <c r="B144" s="0" t="str">
        <f aca="false">IF(Partidos!C73="","",Partidos!D73)</f>
        <v/>
      </c>
      <c r="C144" s="0" t="str">
        <f aca="false">IF(Partidos!C73="","",Partidos!F73)</f>
        <v/>
      </c>
      <c r="D144" s="0" t="str">
        <f aca="false">IF(Partidos!C73="","",IF(Partidos!D73&gt;Partidos!F73,"G",IF(Partidos!D73=Partidos!F73,"E","P")))</f>
        <v/>
      </c>
      <c r="E144" s="0" t="str">
        <f aca="false">IF(Partidos!C73="","",IF(D144="G",3,IF(D144="E",1,0)))</f>
        <v/>
      </c>
    </row>
    <row r="145" customFormat="false" ht="15" hidden="false" customHeight="false" outlineLevel="0" collapsed="false">
      <c r="A145" s="0" t="str">
        <f aca="false">IF(Partidos!E73="","",Partidos!E73)</f>
        <v/>
      </c>
      <c r="B145" s="0" t="str">
        <f aca="false">IF(Partidos!E73="","",Partidos!F73)</f>
        <v/>
      </c>
      <c r="C145" s="0" t="str">
        <f aca="false">IF(Partidos!E73="","",Partidos!D73)</f>
        <v/>
      </c>
      <c r="D145" s="0" t="str">
        <f aca="false">IF(Partidos!E73="","",IF(Partidos!F73&gt;Partidos!D73,"G",IF(Partidos!F73=Partidos!D73,"E","P")))</f>
        <v/>
      </c>
      <c r="E145" s="0" t="str">
        <f aca="false">IF(Partidos!E73="","",IF(D145="G",3,IF(D145="E",1,0)))</f>
        <v/>
      </c>
    </row>
    <row r="146" customFormat="false" ht="15" hidden="false" customHeight="false" outlineLevel="0" collapsed="false">
      <c r="A146" s="0" t="str">
        <f aca="false">IF(Partidos!C74="","",Partidos!C74)</f>
        <v/>
      </c>
      <c r="B146" s="0" t="str">
        <f aca="false">IF(Partidos!C74="","",Partidos!D74)</f>
        <v/>
      </c>
      <c r="C146" s="0" t="str">
        <f aca="false">IF(Partidos!C74="","",Partidos!F74)</f>
        <v/>
      </c>
      <c r="D146" s="0" t="str">
        <f aca="false">IF(Partidos!C74="","",IF(Partidos!D74&gt;Partidos!F74,"G",IF(Partidos!D74=Partidos!F74,"E","P")))</f>
        <v/>
      </c>
      <c r="E146" s="0" t="str">
        <f aca="false">IF(Partidos!C74="","",IF(D146="G",3,IF(D146="E",1,0)))</f>
        <v/>
      </c>
    </row>
    <row r="147" customFormat="false" ht="15" hidden="false" customHeight="false" outlineLevel="0" collapsed="false">
      <c r="A147" s="0" t="str">
        <f aca="false">IF(Partidos!E74="","",Partidos!E74)</f>
        <v/>
      </c>
      <c r="B147" s="0" t="str">
        <f aca="false">IF(Partidos!E74="","",Partidos!F74)</f>
        <v/>
      </c>
      <c r="C147" s="0" t="str">
        <f aca="false">IF(Partidos!E74="","",Partidos!D74)</f>
        <v/>
      </c>
      <c r="D147" s="0" t="str">
        <f aca="false">IF(Partidos!E74="","",IF(Partidos!F74&gt;Partidos!D74,"G",IF(Partidos!F74=Partidos!D74,"E","P")))</f>
        <v/>
      </c>
      <c r="E147" s="0" t="str">
        <f aca="false">IF(Partidos!E74="","",IF(D147="G",3,IF(D147="E",1,0)))</f>
        <v/>
      </c>
    </row>
    <row r="148" customFormat="false" ht="15" hidden="false" customHeight="false" outlineLevel="0" collapsed="false">
      <c r="A148" s="0" t="str">
        <f aca="false">IF(Partidos!C75="","",Partidos!C75)</f>
        <v/>
      </c>
      <c r="B148" s="0" t="str">
        <f aca="false">IF(Partidos!C75="","",Partidos!D75)</f>
        <v/>
      </c>
      <c r="C148" s="0" t="str">
        <f aca="false">IF(Partidos!C75="","",Partidos!F75)</f>
        <v/>
      </c>
      <c r="D148" s="0" t="str">
        <f aca="false">IF(Partidos!C75="","",IF(Partidos!D75&gt;Partidos!F75,"G",IF(Partidos!D75=Partidos!F75,"E","P")))</f>
        <v/>
      </c>
      <c r="E148" s="0" t="str">
        <f aca="false">IF(Partidos!C75="","",IF(D148="G",3,IF(D148="E",1,0)))</f>
        <v/>
      </c>
    </row>
    <row r="149" customFormat="false" ht="15" hidden="false" customHeight="false" outlineLevel="0" collapsed="false">
      <c r="A149" s="0" t="str">
        <f aca="false">IF(Partidos!E75="","",Partidos!E75)</f>
        <v/>
      </c>
      <c r="B149" s="0" t="str">
        <f aca="false">IF(Partidos!E75="","",Partidos!F75)</f>
        <v/>
      </c>
      <c r="C149" s="0" t="str">
        <f aca="false">IF(Partidos!E75="","",Partidos!D75)</f>
        <v/>
      </c>
      <c r="D149" s="0" t="str">
        <f aca="false">IF(Partidos!E75="","",IF(Partidos!F75&gt;Partidos!D75,"G",IF(Partidos!F75=Partidos!D75,"E","P")))</f>
        <v/>
      </c>
      <c r="E149" s="0" t="str">
        <f aca="false">IF(Partidos!E75="","",IF(D149="G",3,IF(D149="E",1,0)))</f>
        <v/>
      </c>
    </row>
    <row r="150" customFormat="false" ht="15" hidden="false" customHeight="false" outlineLevel="0" collapsed="false">
      <c r="A150" s="0" t="str">
        <f aca="false">IF(Partidos!C76="","",Partidos!C76)</f>
        <v/>
      </c>
      <c r="B150" s="0" t="str">
        <f aca="false">IF(Partidos!C76="","",Partidos!D76)</f>
        <v/>
      </c>
      <c r="C150" s="0" t="str">
        <f aca="false">IF(Partidos!C76="","",Partidos!F76)</f>
        <v/>
      </c>
      <c r="D150" s="0" t="str">
        <f aca="false">IF(Partidos!C76="","",IF(Partidos!D76&gt;Partidos!F76,"G",IF(Partidos!D76=Partidos!F76,"E","P")))</f>
        <v/>
      </c>
      <c r="E150" s="0" t="str">
        <f aca="false">IF(Partidos!C76="","",IF(D150="G",3,IF(D150="E",1,0)))</f>
        <v/>
      </c>
    </row>
    <row r="151" customFormat="false" ht="15" hidden="false" customHeight="false" outlineLevel="0" collapsed="false">
      <c r="A151" s="0" t="str">
        <f aca="false">IF(Partidos!E76="","",Partidos!E76)</f>
        <v/>
      </c>
      <c r="B151" s="0" t="str">
        <f aca="false">IF(Partidos!E76="","",Partidos!F76)</f>
        <v/>
      </c>
      <c r="C151" s="0" t="str">
        <f aca="false">IF(Partidos!E76="","",Partidos!D76)</f>
        <v/>
      </c>
      <c r="D151" s="0" t="str">
        <f aca="false">IF(Partidos!E76="","",IF(Partidos!F76&gt;Partidos!D76,"G",IF(Partidos!F76=Partidos!D76,"E","P")))</f>
        <v/>
      </c>
      <c r="E151" s="0" t="str">
        <f aca="false">IF(Partidos!E76="","",IF(D151="G",3,IF(D151="E",1,0)))</f>
        <v/>
      </c>
    </row>
    <row r="152" customFormat="false" ht="15" hidden="false" customHeight="false" outlineLevel="0" collapsed="false">
      <c r="A152" s="0" t="str">
        <f aca="false">IF(Partidos!C77="","",Partidos!C77)</f>
        <v/>
      </c>
      <c r="B152" s="0" t="str">
        <f aca="false">IF(Partidos!C77="","",Partidos!D77)</f>
        <v/>
      </c>
      <c r="C152" s="0" t="str">
        <f aca="false">IF(Partidos!C77="","",Partidos!F77)</f>
        <v/>
      </c>
      <c r="D152" s="0" t="str">
        <f aca="false">IF(Partidos!C77="","",IF(Partidos!D77&gt;Partidos!F77,"G",IF(Partidos!D77=Partidos!F77,"E","P")))</f>
        <v/>
      </c>
      <c r="E152" s="0" t="str">
        <f aca="false">IF(Partidos!C77="","",IF(D152="G",3,IF(D152="E",1,0)))</f>
        <v/>
      </c>
    </row>
    <row r="153" customFormat="false" ht="15" hidden="false" customHeight="false" outlineLevel="0" collapsed="false">
      <c r="A153" s="0" t="str">
        <f aca="false">IF(Partidos!E77="","",Partidos!E77)</f>
        <v/>
      </c>
      <c r="B153" s="0" t="str">
        <f aca="false">IF(Partidos!E77="","",Partidos!F77)</f>
        <v/>
      </c>
      <c r="C153" s="0" t="str">
        <f aca="false">IF(Partidos!E77="","",Partidos!D77)</f>
        <v/>
      </c>
      <c r="D153" s="0" t="str">
        <f aca="false">IF(Partidos!E77="","",IF(Partidos!F77&gt;Partidos!D77,"G",IF(Partidos!F77=Partidos!D77,"E","P")))</f>
        <v/>
      </c>
      <c r="E153" s="0" t="str">
        <f aca="false">IF(Partidos!E77="","",IF(D153="G",3,IF(D153="E",1,0)))</f>
        <v/>
      </c>
    </row>
    <row r="154" customFormat="false" ht="15" hidden="false" customHeight="false" outlineLevel="0" collapsed="false">
      <c r="A154" s="0" t="str">
        <f aca="false">IF(Partidos!C78="","",Partidos!C78)</f>
        <v/>
      </c>
      <c r="B154" s="0" t="str">
        <f aca="false">IF(Partidos!C78="","",Partidos!D78)</f>
        <v/>
      </c>
      <c r="C154" s="0" t="str">
        <f aca="false">IF(Partidos!C78="","",Partidos!F78)</f>
        <v/>
      </c>
      <c r="D154" s="0" t="str">
        <f aca="false">IF(Partidos!C78="","",IF(Partidos!D78&gt;Partidos!F78,"G",IF(Partidos!D78=Partidos!F78,"E","P")))</f>
        <v/>
      </c>
      <c r="E154" s="0" t="str">
        <f aca="false">IF(Partidos!C78="","",IF(D154="G",3,IF(D154="E",1,0)))</f>
        <v/>
      </c>
    </row>
    <row r="155" customFormat="false" ht="15" hidden="false" customHeight="false" outlineLevel="0" collapsed="false">
      <c r="A155" s="0" t="str">
        <f aca="false">IF(Partidos!E78="","",Partidos!E78)</f>
        <v/>
      </c>
      <c r="B155" s="0" t="str">
        <f aca="false">IF(Partidos!E78="","",Partidos!F78)</f>
        <v/>
      </c>
      <c r="C155" s="0" t="str">
        <f aca="false">IF(Partidos!E78="","",Partidos!D78)</f>
        <v/>
      </c>
      <c r="D155" s="0" t="str">
        <f aca="false">IF(Partidos!E78="","",IF(Partidos!F78&gt;Partidos!D78,"G",IF(Partidos!F78=Partidos!D78,"E","P")))</f>
        <v/>
      </c>
      <c r="E155" s="0" t="str">
        <f aca="false">IF(Partidos!E78="","",IF(D155="G",3,IF(D155="E",1,0)))</f>
        <v/>
      </c>
    </row>
    <row r="156" customFormat="false" ht="15" hidden="false" customHeight="false" outlineLevel="0" collapsed="false">
      <c r="A156" s="0" t="str">
        <f aca="false">IF(Partidos!C79="","",Partidos!C79)</f>
        <v/>
      </c>
      <c r="B156" s="0" t="str">
        <f aca="false">IF(Partidos!C79="","",Partidos!D79)</f>
        <v/>
      </c>
      <c r="C156" s="0" t="str">
        <f aca="false">IF(Partidos!C79="","",Partidos!F79)</f>
        <v/>
      </c>
      <c r="D156" s="0" t="str">
        <f aca="false">IF(Partidos!C79="","",IF(Partidos!D79&gt;Partidos!F79,"G",IF(Partidos!D79=Partidos!F79,"E","P")))</f>
        <v/>
      </c>
      <c r="E156" s="0" t="str">
        <f aca="false">IF(Partidos!C79="","",IF(D156="G",3,IF(D156="E",1,0)))</f>
        <v/>
      </c>
    </row>
    <row r="157" customFormat="false" ht="15" hidden="false" customHeight="false" outlineLevel="0" collapsed="false">
      <c r="A157" s="0" t="str">
        <f aca="false">IF(Partidos!E79="","",Partidos!E79)</f>
        <v/>
      </c>
      <c r="B157" s="0" t="str">
        <f aca="false">IF(Partidos!E79="","",Partidos!F79)</f>
        <v/>
      </c>
      <c r="C157" s="0" t="str">
        <f aca="false">IF(Partidos!E79="","",Partidos!D79)</f>
        <v/>
      </c>
      <c r="D157" s="0" t="str">
        <f aca="false">IF(Partidos!E79="","",IF(Partidos!F79&gt;Partidos!D79,"G",IF(Partidos!F79=Partidos!D79,"E","P")))</f>
        <v/>
      </c>
      <c r="E157" s="0" t="str">
        <f aca="false">IF(Partidos!E79="","",IF(D157="G",3,IF(D157="E",1,0)))</f>
        <v/>
      </c>
    </row>
    <row r="158" customFormat="false" ht="15" hidden="false" customHeight="false" outlineLevel="0" collapsed="false">
      <c r="A158" s="0" t="str">
        <f aca="false">IF(Partidos!C80="","",Partidos!C80)</f>
        <v/>
      </c>
      <c r="B158" s="0" t="str">
        <f aca="false">IF(Partidos!C80="","",Partidos!D80)</f>
        <v/>
      </c>
      <c r="C158" s="0" t="str">
        <f aca="false">IF(Partidos!C80="","",Partidos!F80)</f>
        <v/>
      </c>
      <c r="D158" s="0" t="str">
        <f aca="false">IF(Partidos!C80="","",IF(Partidos!D80&gt;Partidos!F80,"G",IF(Partidos!D80=Partidos!F80,"E","P")))</f>
        <v/>
      </c>
      <c r="E158" s="0" t="str">
        <f aca="false">IF(Partidos!C80="","",IF(D158="G",3,IF(D158="E",1,0)))</f>
        <v/>
      </c>
    </row>
    <row r="159" customFormat="false" ht="15" hidden="false" customHeight="false" outlineLevel="0" collapsed="false">
      <c r="A159" s="0" t="str">
        <f aca="false">IF(Partidos!E80="","",Partidos!E80)</f>
        <v/>
      </c>
      <c r="B159" s="0" t="str">
        <f aca="false">IF(Partidos!E80="","",Partidos!F80)</f>
        <v/>
      </c>
      <c r="C159" s="0" t="str">
        <f aca="false">IF(Partidos!E80="","",Partidos!D80)</f>
        <v/>
      </c>
      <c r="D159" s="0" t="str">
        <f aca="false">IF(Partidos!E80="","",IF(Partidos!F80&gt;Partidos!D80,"G",IF(Partidos!F80=Partidos!D80,"E","P")))</f>
        <v/>
      </c>
      <c r="E159" s="0" t="str">
        <f aca="false">IF(Partidos!E80="","",IF(D159="G",3,IF(D159="E",1,0)))</f>
        <v/>
      </c>
    </row>
    <row r="160" customFormat="false" ht="15" hidden="false" customHeight="false" outlineLevel="0" collapsed="false">
      <c r="A160" s="0" t="str">
        <f aca="false">IF(Partidos!C81="","",Partidos!C81)</f>
        <v/>
      </c>
      <c r="B160" s="0" t="str">
        <f aca="false">IF(Partidos!C81="","",Partidos!D81)</f>
        <v/>
      </c>
      <c r="C160" s="0" t="str">
        <f aca="false">IF(Partidos!C81="","",Partidos!F81)</f>
        <v/>
      </c>
      <c r="D160" s="0" t="str">
        <f aca="false">IF(Partidos!C81="","",IF(Partidos!D81&gt;Partidos!F81,"G",IF(Partidos!D81=Partidos!F81,"E","P")))</f>
        <v/>
      </c>
      <c r="E160" s="0" t="str">
        <f aca="false">IF(Partidos!C81="","",IF(D160="G",3,IF(D160="E",1,0)))</f>
        <v/>
      </c>
    </row>
    <row r="161" customFormat="false" ht="15" hidden="false" customHeight="false" outlineLevel="0" collapsed="false">
      <c r="A161" s="0" t="str">
        <f aca="false">IF(Partidos!E81="","",Partidos!E81)</f>
        <v/>
      </c>
      <c r="B161" s="0" t="str">
        <f aca="false">IF(Partidos!E81="","",Partidos!F81)</f>
        <v/>
      </c>
      <c r="C161" s="0" t="str">
        <f aca="false">IF(Partidos!E81="","",Partidos!D81)</f>
        <v/>
      </c>
      <c r="D161" s="0" t="str">
        <f aca="false">IF(Partidos!E81="","",IF(Partidos!F81&gt;Partidos!D81,"G",IF(Partidos!F81=Partidos!D81,"E","P")))</f>
        <v/>
      </c>
      <c r="E161" s="0" t="str">
        <f aca="false">IF(Partidos!E81="","",IF(D161="G",3,IF(D161="E",1,0)))</f>
        <v/>
      </c>
    </row>
    <row r="162" customFormat="false" ht="15" hidden="false" customHeight="false" outlineLevel="0" collapsed="false">
      <c r="A162" s="0" t="str">
        <f aca="false">IF(Partidos!C82="","",Partidos!C82)</f>
        <v/>
      </c>
      <c r="B162" s="0" t="str">
        <f aca="false">IF(Partidos!C82="","",Partidos!D82)</f>
        <v/>
      </c>
      <c r="C162" s="0" t="str">
        <f aca="false">IF(Partidos!C82="","",Partidos!F82)</f>
        <v/>
      </c>
      <c r="D162" s="0" t="str">
        <f aca="false">IF(Partidos!C82="","",IF(Partidos!D82&gt;Partidos!F82,"G",IF(Partidos!D82=Partidos!F82,"E","P")))</f>
        <v/>
      </c>
      <c r="E162" s="0" t="str">
        <f aca="false">IF(Partidos!C82="","",IF(D162="G",3,IF(D162="E",1,0)))</f>
        <v/>
      </c>
    </row>
    <row r="163" customFormat="false" ht="15" hidden="false" customHeight="false" outlineLevel="0" collapsed="false">
      <c r="A163" s="0" t="str">
        <f aca="false">IF(Partidos!E82="","",Partidos!E82)</f>
        <v/>
      </c>
      <c r="B163" s="0" t="str">
        <f aca="false">IF(Partidos!E82="","",Partidos!F82)</f>
        <v/>
      </c>
      <c r="C163" s="0" t="str">
        <f aca="false">IF(Partidos!E82="","",Partidos!D82)</f>
        <v/>
      </c>
      <c r="D163" s="0" t="str">
        <f aca="false">IF(Partidos!E82="","",IF(Partidos!F82&gt;Partidos!D82,"G",IF(Partidos!F82=Partidos!D82,"E","P")))</f>
        <v/>
      </c>
      <c r="E163" s="0" t="str">
        <f aca="false">IF(Partidos!E82="","",IF(D163="G",3,IF(D163="E",1,0)))</f>
        <v/>
      </c>
    </row>
    <row r="164" customFormat="false" ht="15" hidden="false" customHeight="false" outlineLevel="0" collapsed="false">
      <c r="A164" s="0" t="str">
        <f aca="false">IF(Partidos!C83="","",Partidos!C83)</f>
        <v/>
      </c>
      <c r="B164" s="0" t="str">
        <f aca="false">IF(Partidos!C83="","",Partidos!D83)</f>
        <v/>
      </c>
      <c r="C164" s="0" t="str">
        <f aca="false">IF(Partidos!C83="","",Partidos!F83)</f>
        <v/>
      </c>
      <c r="D164" s="0" t="str">
        <f aca="false">IF(Partidos!C83="","",IF(Partidos!D83&gt;Partidos!F83,"G",IF(Partidos!D83=Partidos!F83,"E","P")))</f>
        <v/>
      </c>
      <c r="E164" s="0" t="str">
        <f aca="false">IF(Partidos!C83="","",IF(D164="G",3,IF(D164="E",1,0)))</f>
        <v/>
      </c>
    </row>
    <row r="165" customFormat="false" ht="15" hidden="false" customHeight="false" outlineLevel="0" collapsed="false">
      <c r="A165" s="0" t="str">
        <f aca="false">IF(Partidos!E83="","",Partidos!E83)</f>
        <v/>
      </c>
      <c r="B165" s="0" t="str">
        <f aca="false">IF(Partidos!E83="","",Partidos!F83)</f>
        <v/>
      </c>
      <c r="C165" s="0" t="str">
        <f aca="false">IF(Partidos!E83="","",Partidos!D83)</f>
        <v/>
      </c>
      <c r="D165" s="0" t="str">
        <f aca="false">IF(Partidos!E83="","",IF(Partidos!F83&gt;Partidos!D83,"G",IF(Partidos!F83=Partidos!D83,"E","P")))</f>
        <v/>
      </c>
      <c r="E165" s="0" t="str">
        <f aca="false">IF(Partidos!E83="","",IF(D165="G",3,IF(D165="E",1,0)))</f>
        <v/>
      </c>
    </row>
    <row r="166" customFormat="false" ht="15" hidden="false" customHeight="false" outlineLevel="0" collapsed="false">
      <c r="A166" s="0" t="str">
        <f aca="false">IF(Partidos!C84="","",Partidos!C84)</f>
        <v/>
      </c>
      <c r="B166" s="0" t="str">
        <f aca="false">IF(Partidos!C84="","",Partidos!D84)</f>
        <v/>
      </c>
      <c r="C166" s="0" t="str">
        <f aca="false">IF(Partidos!C84="","",Partidos!F84)</f>
        <v/>
      </c>
      <c r="D166" s="0" t="str">
        <f aca="false">IF(Partidos!C84="","",IF(Partidos!D84&gt;Partidos!F84,"G",IF(Partidos!D84=Partidos!F84,"E","P")))</f>
        <v/>
      </c>
      <c r="E166" s="0" t="str">
        <f aca="false">IF(Partidos!C84="","",IF(D166="G",3,IF(D166="E",1,0)))</f>
        <v/>
      </c>
    </row>
    <row r="167" customFormat="false" ht="15" hidden="false" customHeight="false" outlineLevel="0" collapsed="false">
      <c r="A167" s="0" t="str">
        <f aca="false">IF(Partidos!E84="","",Partidos!E84)</f>
        <v/>
      </c>
      <c r="B167" s="0" t="str">
        <f aca="false">IF(Partidos!E84="","",Partidos!F84)</f>
        <v/>
      </c>
      <c r="C167" s="0" t="str">
        <f aca="false">IF(Partidos!E84="","",Partidos!D84)</f>
        <v/>
      </c>
      <c r="D167" s="0" t="str">
        <f aca="false">IF(Partidos!E84="","",IF(Partidos!F84&gt;Partidos!D84,"G",IF(Partidos!F84=Partidos!D84,"E","P")))</f>
        <v/>
      </c>
      <c r="E167" s="0" t="str">
        <f aca="false">IF(Partidos!E84="","",IF(D167="G",3,IF(D167="E",1,0)))</f>
        <v/>
      </c>
    </row>
    <row r="168" customFormat="false" ht="15" hidden="false" customHeight="false" outlineLevel="0" collapsed="false">
      <c r="A168" s="0" t="str">
        <f aca="false">IF(Partidos!C85="","",Partidos!C85)</f>
        <v/>
      </c>
      <c r="B168" s="0" t="str">
        <f aca="false">IF(Partidos!C85="","",Partidos!D85)</f>
        <v/>
      </c>
      <c r="C168" s="0" t="str">
        <f aca="false">IF(Partidos!C85="","",Partidos!F85)</f>
        <v/>
      </c>
      <c r="D168" s="0" t="str">
        <f aca="false">IF(Partidos!C85="","",IF(Partidos!D85&gt;Partidos!F85,"G",IF(Partidos!D85=Partidos!F85,"E","P")))</f>
        <v/>
      </c>
      <c r="E168" s="0" t="str">
        <f aca="false">IF(Partidos!C85="","",IF(D168="G",3,IF(D168="E",1,0)))</f>
        <v/>
      </c>
    </row>
    <row r="169" customFormat="false" ht="15" hidden="false" customHeight="false" outlineLevel="0" collapsed="false">
      <c r="A169" s="0" t="str">
        <f aca="false">IF(Partidos!E85="","",Partidos!E85)</f>
        <v/>
      </c>
      <c r="B169" s="0" t="str">
        <f aca="false">IF(Partidos!E85="","",Partidos!F85)</f>
        <v/>
      </c>
      <c r="C169" s="0" t="str">
        <f aca="false">IF(Partidos!E85="","",Partidos!D85)</f>
        <v/>
      </c>
      <c r="D169" s="0" t="str">
        <f aca="false">IF(Partidos!E85="","",IF(Partidos!F85&gt;Partidos!D85,"G",IF(Partidos!F85=Partidos!D85,"E","P")))</f>
        <v/>
      </c>
      <c r="E169" s="0" t="str">
        <f aca="false">IF(Partidos!E85="","",IF(D169="G",3,IF(D169="E",1,0)))</f>
        <v/>
      </c>
    </row>
    <row r="170" customFormat="false" ht="15" hidden="false" customHeight="false" outlineLevel="0" collapsed="false">
      <c r="A170" s="0" t="str">
        <f aca="false">IF(Partidos!C86="","",Partidos!C86)</f>
        <v/>
      </c>
      <c r="B170" s="0" t="str">
        <f aca="false">IF(Partidos!C86="","",Partidos!D86)</f>
        <v/>
      </c>
      <c r="C170" s="0" t="str">
        <f aca="false">IF(Partidos!C86="","",Partidos!F86)</f>
        <v/>
      </c>
      <c r="D170" s="0" t="str">
        <f aca="false">IF(Partidos!C86="","",IF(Partidos!D86&gt;Partidos!F86,"G",IF(Partidos!D86=Partidos!F86,"E","P")))</f>
        <v/>
      </c>
      <c r="E170" s="0" t="str">
        <f aca="false">IF(Partidos!C86="","",IF(D170="G",3,IF(D170="E",1,0)))</f>
        <v/>
      </c>
    </row>
    <row r="171" customFormat="false" ht="15" hidden="false" customHeight="false" outlineLevel="0" collapsed="false">
      <c r="A171" s="0" t="str">
        <f aca="false">IF(Partidos!E86="","",Partidos!E86)</f>
        <v/>
      </c>
      <c r="B171" s="0" t="str">
        <f aca="false">IF(Partidos!E86="","",Partidos!F86)</f>
        <v/>
      </c>
      <c r="C171" s="0" t="str">
        <f aca="false">IF(Partidos!E86="","",Partidos!D86)</f>
        <v/>
      </c>
      <c r="D171" s="0" t="str">
        <f aca="false">IF(Partidos!E86="","",IF(Partidos!F86&gt;Partidos!D86,"G",IF(Partidos!F86=Partidos!D86,"E","P")))</f>
        <v/>
      </c>
      <c r="E171" s="0" t="str">
        <f aca="false">IF(Partidos!E86="","",IF(D171="G",3,IF(D171="E",1,0)))</f>
        <v/>
      </c>
    </row>
    <row r="172" customFormat="false" ht="15" hidden="false" customHeight="false" outlineLevel="0" collapsed="false">
      <c r="A172" s="0" t="str">
        <f aca="false">IF(Partidos!C87="","",Partidos!C87)</f>
        <v/>
      </c>
      <c r="B172" s="0" t="str">
        <f aca="false">IF(Partidos!C87="","",Partidos!D87)</f>
        <v/>
      </c>
      <c r="C172" s="0" t="str">
        <f aca="false">IF(Partidos!C87="","",Partidos!F87)</f>
        <v/>
      </c>
      <c r="D172" s="0" t="str">
        <f aca="false">IF(Partidos!C87="","",IF(Partidos!D87&gt;Partidos!F87,"G",IF(Partidos!D87=Partidos!F87,"E","P")))</f>
        <v/>
      </c>
      <c r="E172" s="0" t="str">
        <f aca="false">IF(Partidos!C87="","",IF(D172="G",3,IF(D172="E",1,0)))</f>
        <v/>
      </c>
    </row>
    <row r="173" customFormat="false" ht="15" hidden="false" customHeight="false" outlineLevel="0" collapsed="false">
      <c r="A173" s="0" t="str">
        <f aca="false">IF(Partidos!E87="","",Partidos!E87)</f>
        <v/>
      </c>
      <c r="B173" s="0" t="str">
        <f aca="false">IF(Partidos!E87="","",Partidos!F87)</f>
        <v/>
      </c>
      <c r="C173" s="0" t="str">
        <f aca="false">IF(Partidos!E87="","",Partidos!D87)</f>
        <v/>
      </c>
      <c r="D173" s="0" t="str">
        <f aca="false">IF(Partidos!E87="","",IF(Partidos!F87&gt;Partidos!D87,"G",IF(Partidos!F87=Partidos!D87,"E","P")))</f>
        <v/>
      </c>
      <c r="E173" s="0" t="str">
        <f aca="false">IF(Partidos!E87="","",IF(D173="G",3,IF(D173="E",1,0)))</f>
        <v/>
      </c>
    </row>
    <row r="174" customFormat="false" ht="15" hidden="false" customHeight="false" outlineLevel="0" collapsed="false">
      <c r="A174" s="0" t="str">
        <f aca="false">IF(Partidos!C88="","",Partidos!C88)</f>
        <v/>
      </c>
      <c r="B174" s="0" t="str">
        <f aca="false">IF(Partidos!C88="","",Partidos!D88)</f>
        <v/>
      </c>
      <c r="C174" s="0" t="str">
        <f aca="false">IF(Partidos!C88="","",Partidos!F88)</f>
        <v/>
      </c>
      <c r="D174" s="0" t="str">
        <f aca="false">IF(Partidos!C88="","",IF(Partidos!D88&gt;Partidos!F88,"G",IF(Partidos!D88=Partidos!F88,"E","P")))</f>
        <v/>
      </c>
      <c r="E174" s="0" t="str">
        <f aca="false">IF(Partidos!C88="","",IF(D174="G",3,IF(D174="E",1,0)))</f>
        <v/>
      </c>
    </row>
    <row r="175" customFormat="false" ht="15" hidden="false" customHeight="false" outlineLevel="0" collapsed="false">
      <c r="A175" s="0" t="str">
        <f aca="false">IF(Partidos!E88="","",Partidos!E88)</f>
        <v/>
      </c>
      <c r="B175" s="0" t="str">
        <f aca="false">IF(Partidos!E88="","",Partidos!F88)</f>
        <v/>
      </c>
      <c r="C175" s="0" t="str">
        <f aca="false">IF(Partidos!E88="","",Partidos!D88)</f>
        <v/>
      </c>
      <c r="D175" s="0" t="str">
        <f aca="false">IF(Partidos!E88="","",IF(Partidos!F88&gt;Partidos!D88,"G",IF(Partidos!F88=Partidos!D88,"E","P")))</f>
        <v/>
      </c>
      <c r="E175" s="0" t="str">
        <f aca="false">IF(Partidos!E88="","",IF(D175="G",3,IF(D175="E",1,0)))</f>
        <v/>
      </c>
    </row>
    <row r="176" customFormat="false" ht="15" hidden="false" customHeight="false" outlineLevel="0" collapsed="false">
      <c r="A176" s="0" t="str">
        <f aca="false">IF(Partidos!C89="","",Partidos!C89)</f>
        <v/>
      </c>
      <c r="B176" s="0" t="str">
        <f aca="false">IF(Partidos!C89="","",Partidos!D89)</f>
        <v/>
      </c>
      <c r="C176" s="0" t="str">
        <f aca="false">IF(Partidos!C89="","",Partidos!F89)</f>
        <v/>
      </c>
      <c r="D176" s="0" t="str">
        <f aca="false">IF(Partidos!C89="","",IF(Partidos!D89&gt;Partidos!F89,"G",IF(Partidos!D89=Partidos!F89,"E","P")))</f>
        <v/>
      </c>
      <c r="E176" s="0" t="str">
        <f aca="false">IF(Partidos!C89="","",IF(D176="G",3,IF(D176="E",1,0)))</f>
        <v/>
      </c>
    </row>
    <row r="177" customFormat="false" ht="15" hidden="false" customHeight="false" outlineLevel="0" collapsed="false">
      <c r="A177" s="0" t="str">
        <f aca="false">IF(Partidos!E89="","",Partidos!E89)</f>
        <v/>
      </c>
      <c r="B177" s="0" t="str">
        <f aca="false">IF(Partidos!E89="","",Partidos!F89)</f>
        <v/>
      </c>
      <c r="C177" s="0" t="str">
        <f aca="false">IF(Partidos!E89="","",Partidos!D89)</f>
        <v/>
      </c>
      <c r="D177" s="0" t="str">
        <f aca="false">IF(Partidos!E89="","",IF(Partidos!F89&gt;Partidos!D89,"G",IF(Partidos!F89=Partidos!D89,"E","P")))</f>
        <v/>
      </c>
      <c r="E177" s="0" t="str">
        <f aca="false">IF(Partidos!E89="","",IF(D177="G",3,IF(D177="E",1,0)))</f>
        <v/>
      </c>
    </row>
    <row r="178" customFormat="false" ht="15" hidden="false" customHeight="false" outlineLevel="0" collapsed="false">
      <c r="A178" s="0" t="str">
        <f aca="false">IF(Partidos!C90="","",Partidos!C90)</f>
        <v/>
      </c>
      <c r="B178" s="0" t="str">
        <f aca="false">IF(Partidos!C90="","",Partidos!D90)</f>
        <v/>
      </c>
      <c r="C178" s="0" t="str">
        <f aca="false">IF(Partidos!C90="","",Partidos!F90)</f>
        <v/>
      </c>
      <c r="D178" s="0" t="str">
        <f aca="false">IF(Partidos!C90="","",IF(Partidos!D90&gt;Partidos!F90,"G",IF(Partidos!D90=Partidos!F90,"E","P")))</f>
        <v/>
      </c>
      <c r="E178" s="0" t="str">
        <f aca="false">IF(Partidos!C90="","",IF(D178="G",3,IF(D178="E",1,0)))</f>
        <v/>
      </c>
    </row>
    <row r="179" customFormat="false" ht="15" hidden="false" customHeight="false" outlineLevel="0" collapsed="false">
      <c r="A179" s="0" t="str">
        <f aca="false">IF(Partidos!E90="","",Partidos!E90)</f>
        <v/>
      </c>
      <c r="B179" s="0" t="str">
        <f aca="false">IF(Partidos!E90="","",Partidos!F90)</f>
        <v/>
      </c>
      <c r="C179" s="0" t="str">
        <f aca="false">IF(Partidos!E90="","",Partidos!D90)</f>
        <v/>
      </c>
      <c r="D179" s="0" t="str">
        <f aca="false">IF(Partidos!E90="","",IF(Partidos!F90&gt;Partidos!D90,"G",IF(Partidos!F90=Partidos!D90,"E","P")))</f>
        <v/>
      </c>
      <c r="E179" s="0" t="str">
        <f aca="false">IF(Partidos!E90="","",IF(D179="G",3,IF(D179="E",1,0)))</f>
        <v/>
      </c>
    </row>
    <row r="180" customFormat="false" ht="15" hidden="false" customHeight="false" outlineLevel="0" collapsed="false">
      <c r="A180" s="0" t="str">
        <f aca="false">IF(Partidos!C91="","",Partidos!C91)</f>
        <v/>
      </c>
      <c r="B180" s="0" t="str">
        <f aca="false">IF(Partidos!C91="","",Partidos!D91)</f>
        <v/>
      </c>
      <c r="C180" s="0" t="str">
        <f aca="false">IF(Partidos!C91="","",Partidos!F91)</f>
        <v/>
      </c>
      <c r="D180" s="0" t="str">
        <f aca="false">IF(Partidos!C91="","",IF(Partidos!D91&gt;Partidos!F91,"G",IF(Partidos!D91=Partidos!F91,"E","P")))</f>
        <v/>
      </c>
      <c r="E180" s="0" t="str">
        <f aca="false">IF(Partidos!C91="","",IF(D180="G",3,IF(D180="E",1,0)))</f>
        <v/>
      </c>
    </row>
    <row r="181" customFormat="false" ht="15" hidden="false" customHeight="false" outlineLevel="0" collapsed="false">
      <c r="A181" s="0" t="str">
        <f aca="false">IF(Partidos!E91="","",Partidos!E91)</f>
        <v/>
      </c>
      <c r="B181" s="0" t="str">
        <f aca="false">IF(Partidos!E91="","",Partidos!F91)</f>
        <v/>
      </c>
      <c r="C181" s="0" t="str">
        <f aca="false">IF(Partidos!E91="","",Partidos!D91)</f>
        <v/>
      </c>
      <c r="D181" s="0" t="str">
        <f aca="false">IF(Partidos!E91="","",IF(Partidos!F91&gt;Partidos!D91,"G",IF(Partidos!F91=Partidos!D91,"E","P")))</f>
        <v/>
      </c>
      <c r="E181" s="0" t="str">
        <f aca="false">IF(Partidos!E91="","",IF(D181="G",3,IF(D181="E",1,0)))</f>
        <v/>
      </c>
    </row>
    <row r="182" customFormat="false" ht="15" hidden="false" customHeight="false" outlineLevel="0" collapsed="false">
      <c r="A182" s="0" t="str">
        <f aca="false">IF(Partidos!C92="","",Partidos!C92)</f>
        <v/>
      </c>
      <c r="B182" s="0" t="str">
        <f aca="false">IF(Partidos!C92="","",Partidos!D92)</f>
        <v/>
      </c>
      <c r="C182" s="0" t="str">
        <f aca="false">IF(Partidos!C92="","",Partidos!F92)</f>
        <v/>
      </c>
      <c r="D182" s="0" t="str">
        <f aca="false">IF(Partidos!C92="","",IF(Partidos!D92&gt;Partidos!F92,"G",IF(Partidos!D92=Partidos!F92,"E","P")))</f>
        <v/>
      </c>
      <c r="E182" s="0" t="str">
        <f aca="false">IF(Partidos!C92="","",IF(D182="G",3,IF(D182="E",1,0)))</f>
        <v/>
      </c>
    </row>
    <row r="183" customFormat="false" ht="15" hidden="false" customHeight="false" outlineLevel="0" collapsed="false">
      <c r="A183" s="0" t="str">
        <f aca="false">IF(Partidos!E92="","",Partidos!E92)</f>
        <v/>
      </c>
      <c r="B183" s="0" t="str">
        <f aca="false">IF(Partidos!E92="","",Partidos!F92)</f>
        <v/>
      </c>
      <c r="C183" s="0" t="str">
        <f aca="false">IF(Partidos!E92="","",Partidos!D92)</f>
        <v/>
      </c>
      <c r="D183" s="0" t="str">
        <f aca="false">IF(Partidos!E92="","",IF(Partidos!F92&gt;Partidos!D92,"G",IF(Partidos!F92=Partidos!D92,"E","P")))</f>
        <v/>
      </c>
      <c r="E183" s="0" t="str">
        <f aca="false">IF(Partidos!E92="","",IF(D183="G",3,IF(D183="E",1,0)))</f>
        <v/>
      </c>
    </row>
    <row r="184" customFormat="false" ht="15" hidden="false" customHeight="false" outlineLevel="0" collapsed="false">
      <c r="A184" s="0" t="str">
        <f aca="false">IF(Partidos!C93="","",Partidos!C93)</f>
        <v/>
      </c>
      <c r="B184" s="0" t="str">
        <f aca="false">IF(Partidos!C93="","",Partidos!D93)</f>
        <v/>
      </c>
      <c r="C184" s="0" t="str">
        <f aca="false">IF(Partidos!C93="","",Partidos!F93)</f>
        <v/>
      </c>
      <c r="D184" s="0" t="str">
        <f aca="false">IF(Partidos!C93="","",IF(Partidos!D93&gt;Partidos!F93,"G",IF(Partidos!D93=Partidos!F93,"E","P")))</f>
        <v/>
      </c>
      <c r="E184" s="0" t="str">
        <f aca="false">IF(Partidos!C93="","",IF(D184="G",3,IF(D184="E",1,0)))</f>
        <v/>
      </c>
    </row>
    <row r="185" customFormat="false" ht="15" hidden="false" customHeight="false" outlineLevel="0" collapsed="false">
      <c r="A185" s="0" t="str">
        <f aca="false">IF(Partidos!E93="","",Partidos!E93)</f>
        <v/>
      </c>
      <c r="B185" s="0" t="str">
        <f aca="false">IF(Partidos!E93="","",Partidos!F93)</f>
        <v/>
      </c>
      <c r="C185" s="0" t="str">
        <f aca="false">IF(Partidos!E93="","",Partidos!D93)</f>
        <v/>
      </c>
      <c r="D185" s="0" t="str">
        <f aca="false">IF(Partidos!E93="","",IF(Partidos!F93&gt;Partidos!D93,"G",IF(Partidos!F93=Partidos!D93,"E","P")))</f>
        <v/>
      </c>
      <c r="E185" s="0" t="str">
        <f aca="false">IF(Partidos!E93="","",IF(D185="G",3,IF(D185="E",1,0)))</f>
        <v/>
      </c>
    </row>
    <row r="186" customFormat="false" ht="15" hidden="false" customHeight="false" outlineLevel="0" collapsed="false">
      <c r="A186" s="0" t="str">
        <f aca="false">IF(Partidos!C94="","",Partidos!C94)</f>
        <v/>
      </c>
      <c r="B186" s="0" t="str">
        <f aca="false">IF(Partidos!C94="","",Partidos!D94)</f>
        <v/>
      </c>
      <c r="C186" s="0" t="str">
        <f aca="false">IF(Partidos!C94="","",Partidos!F94)</f>
        <v/>
      </c>
      <c r="D186" s="0" t="str">
        <f aca="false">IF(Partidos!C94="","",IF(Partidos!D94&gt;Partidos!F94,"G",IF(Partidos!D94=Partidos!F94,"E","P")))</f>
        <v/>
      </c>
      <c r="E186" s="0" t="str">
        <f aca="false">IF(Partidos!C94="","",IF(D186="G",3,IF(D186="E",1,0)))</f>
        <v/>
      </c>
    </row>
    <row r="187" customFormat="false" ht="15" hidden="false" customHeight="false" outlineLevel="0" collapsed="false">
      <c r="A187" s="0" t="str">
        <f aca="false">IF(Partidos!E94="","",Partidos!E94)</f>
        <v/>
      </c>
      <c r="B187" s="0" t="str">
        <f aca="false">IF(Partidos!E94="","",Partidos!F94)</f>
        <v/>
      </c>
      <c r="C187" s="0" t="str">
        <f aca="false">IF(Partidos!E94="","",Partidos!D94)</f>
        <v/>
      </c>
      <c r="D187" s="0" t="str">
        <f aca="false">IF(Partidos!E94="","",IF(Partidos!F94&gt;Partidos!D94,"G",IF(Partidos!F94=Partidos!D94,"E","P")))</f>
        <v/>
      </c>
      <c r="E187" s="0" t="str">
        <f aca="false">IF(Partidos!E94="","",IF(D187="G",3,IF(D187="E",1,0)))</f>
        <v/>
      </c>
    </row>
    <row r="188" customFormat="false" ht="15" hidden="false" customHeight="false" outlineLevel="0" collapsed="false">
      <c r="A188" s="0" t="str">
        <f aca="false">IF(Partidos!C95="","",Partidos!C95)</f>
        <v/>
      </c>
      <c r="B188" s="0" t="str">
        <f aca="false">IF(Partidos!C95="","",Partidos!D95)</f>
        <v/>
      </c>
      <c r="C188" s="0" t="str">
        <f aca="false">IF(Partidos!C95="","",Partidos!F95)</f>
        <v/>
      </c>
      <c r="D188" s="0" t="str">
        <f aca="false">IF(Partidos!C95="","",IF(Partidos!D95&gt;Partidos!F95,"G",IF(Partidos!D95=Partidos!F95,"E","P")))</f>
        <v/>
      </c>
      <c r="E188" s="0" t="str">
        <f aca="false">IF(Partidos!C95="","",IF(D188="G",3,IF(D188="E",1,0)))</f>
        <v/>
      </c>
    </row>
    <row r="189" customFormat="false" ht="15" hidden="false" customHeight="false" outlineLevel="0" collapsed="false">
      <c r="A189" s="0" t="str">
        <f aca="false">IF(Partidos!E95="","",Partidos!E95)</f>
        <v/>
      </c>
      <c r="B189" s="0" t="str">
        <f aca="false">IF(Partidos!E95="","",Partidos!F95)</f>
        <v/>
      </c>
      <c r="C189" s="0" t="str">
        <f aca="false">IF(Partidos!E95="","",Partidos!D95)</f>
        <v/>
      </c>
      <c r="D189" s="0" t="str">
        <f aca="false">IF(Partidos!E95="","",IF(Partidos!F95&gt;Partidos!D95,"G",IF(Partidos!F95=Partidos!D95,"E","P")))</f>
        <v/>
      </c>
      <c r="E189" s="0" t="str">
        <f aca="false">IF(Partidos!E95="","",IF(D189="G",3,IF(D189="E",1,0)))</f>
        <v/>
      </c>
    </row>
    <row r="190" customFormat="false" ht="15" hidden="false" customHeight="false" outlineLevel="0" collapsed="false">
      <c r="A190" s="0" t="str">
        <f aca="false">IF(Partidos!C96="","",Partidos!C96)</f>
        <v/>
      </c>
      <c r="B190" s="0" t="str">
        <f aca="false">IF(Partidos!C96="","",Partidos!D96)</f>
        <v/>
      </c>
      <c r="C190" s="0" t="str">
        <f aca="false">IF(Partidos!C96="","",Partidos!F96)</f>
        <v/>
      </c>
      <c r="D190" s="0" t="str">
        <f aca="false">IF(Partidos!C96="","",IF(Partidos!D96&gt;Partidos!F96,"G",IF(Partidos!D96=Partidos!F96,"E","P")))</f>
        <v/>
      </c>
      <c r="E190" s="0" t="str">
        <f aca="false">IF(Partidos!C96="","",IF(D190="G",3,IF(D190="E",1,0)))</f>
        <v/>
      </c>
    </row>
    <row r="191" customFormat="false" ht="15" hidden="false" customHeight="false" outlineLevel="0" collapsed="false">
      <c r="A191" s="0" t="str">
        <f aca="false">IF(Partidos!E96="","",Partidos!E96)</f>
        <v/>
      </c>
      <c r="B191" s="0" t="str">
        <f aca="false">IF(Partidos!E96="","",Partidos!F96)</f>
        <v/>
      </c>
      <c r="C191" s="0" t="str">
        <f aca="false">IF(Partidos!E96="","",Partidos!D96)</f>
        <v/>
      </c>
      <c r="D191" s="0" t="str">
        <f aca="false">IF(Partidos!E96="","",IF(Partidos!F96&gt;Partidos!D96,"G",IF(Partidos!F96=Partidos!D96,"E","P")))</f>
        <v/>
      </c>
      <c r="E191" s="0" t="str">
        <f aca="false">IF(Partidos!E96="","",IF(D191="G",3,IF(D191="E",1,0)))</f>
        <v/>
      </c>
    </row>
    <row r="192" customFormat="false" ht="15" hidden="false" customHeight="false" outlineLevel="0" collapsed="false">
      <c r="A192" s="0" t="str">
        <f aca="false">IF(Partidos!C97="","",Partidos!C97)</f>
        <v/>
      </c>
      <c r="B192" s="0" t="str">
        <f aca="false">IF(Partidos!C97="","",Partidos!D97)</f>
        <v/>
      </c>
      <c r="C192" s="0" t="str">
        <f aca="false">IF(Partidos!C97="","",Partidos!F97)</f>
        <v/>
      </c>
      <c r="D192" s="0" t="str">
        <f aca="false">IF(Partidos!C97="","",IF(Partidos!D97&gt;Partidos!F97,"G",IF(Partidos!D97=Partidos!F97,"E","P")))</f>
        <v/>
      </c>
      <c r="E192" s="0" t="str">
        <f aca="false">IF(Partidos!C97="","",IF(D192="G",3,IF(D192="E",1,0)))</f>
        <v/>
      </c>
    </row>
    <row r="193" customFormat="false" ht="15" hidden="false" customHeight="false" outlineLevel="0" collapsed="false">
      <c r="A193" s="0" t="str">
        <f aca="false">IF(Partidos!E97="","",Partidos!E97)</f>
        <v/>
      </c>
      <c r="B193" s="0" t="str">
        <f aca="false">IF(Partidos!E97="","",Partidos!F97)</f>
        <v/>
      </c>
      <c r="C193" s="0" t="str">
        <f aca="false">IF(Partidos!E97="","",Partidos!D97)</f>
        <v/>
      </c>
      <c r="D193" s="0" t="str">
        <f aca="false">IF(Partidos!E97="","",IF(Partidos!F97&gt;Partidos!D97,"G",IF(Partidos!F97=Partidos!D97,"E","P")))</f>
        <v/>
      </c>
      <c r="E193" s="0" t="str">
        <f aca="false">IF(Partidos!E97="","",IF(D193="G",3,IF(D193="E",1,0)))</f>
        <v/>
      </c>
    </row>
    <row r="194" customFormat="false" ht="15" hidden="false" customHeight="false" outlineLevel="0" collapsed="false">
      <c r="A194" s="0" t="str">
        <f aca="false">IF(Partidos!C98="","",Partidos!C98)</f>
        <v/>
      </c>
      <c r="B194" s="0" t="str">
        <f aca="false">IF(Partidos!C98="","",Partidos!D98)</f>
        <v/>
      </c>
      <c r="C194" s="0" t="str">
        <f aca="false">IF(Partidos!C98="","",Partidos!F98)</f>
        <v/>
      </c>
      <c r="D194" s="0" t="str">
        <f aca="false">IF(Partidos!C98="","",IF(Partidos!D98&gt;Partidos!F98,"G",IF(Partidos!D98=Partidos!F98,"E","P")))</f>
        <v/>
      </c>
      <c r="E194" s="0" t="str">
        <f aca="false">IF(Partidos!C98="","",IF(D194="G",3,IF(D194="E",1,0)))</f>
        <v/>
      </c>
    </row>
    <row r="195" customFormat="false" ht="15" hidden="false" customHeight="false" outlineLevel="0" collapsed="false">
      <c r="A195" s="0" t="str">
        <f aca="false">IF(Partidos!E98="","",Partidos!E98)</f>
        <v/>
      </c>
      <c r="B195" s="0" t="str">
        <f aca="false">IF(Partidos!E98="","",Partidos!F98)</f>
        <v/>
      </c>
      <c r="C195" s="0" t="str">
        <f aca="false">IF(Partidos!E98="","",Partidos!D98)</f>
        <v/>
      </c>
      <c r="D195" s="0" t="str">
        <f aca="false">IF(Partidos!E98="","",IF(Partidos!F98&gt;Partidos!D98,"G",IF(Partidos!F98=Partidos!D98,"E","P")))</f>
        <v/>
      </c>
      <c r="E195" s="0" t="str">
        <f aca="false">IF(Partidos!E98="","",IF(D195="G",3,IF(D195="E",1,0)))</f>
        <v/>
      </c>
    </row>
    <row r="196" customFormat="false" ht="15" hidden="false" customHeight="false" outlineLevel="0" collapsed="false">
      <c r="A196" s="0" t="str">
        <f aca="false">IF(Partidos!C99="","",Partidos!C99)</f>
        <v/>
      </c>
      <c r="B196" s="0" t="str">
        <f aca="false">IF(Partidos!C99="","",Partidos!D99)</f>
        <v/>
      </c>
      <c r="C196" s="0" t="str">
        <f aca="false">IF(Partidos!C99="","",Partidos!F99)</f>
        <v/>
      </c>
      <c r="D196" s="0" t="str">
        <f aca="false">IF(Partidos!C99="","",IF(Partidos!D99&gt;Partidos!F99,"G",IF(Partidos!D99=Partidos!F99,"E","P")))</f>
        <v/>
      </c>
      <c r="E196" s="0" t="str">
        <f aca="false">IF(Partidos!C99="","",IF(D196="G",3,IF(D196="E",1,0)))</f>
        <v/>
      </c>
    </row>
    <row r="197" customFormat="false" ht="15" hidden="false" customHeight="false" outlineLevel="0" collapsed="false">
      <c r="A197" s="0" t="str">
        <f aca="false">IF(Partidos!E99="","",Partidos!E99)</f>
        <v/>
      </c>
      <c r="B197" s="0" t="str">
        <f aca="false">IF(Partidos!E99="","",Partidos!F99)</f>
        <v/>
      </c>
      <c r="C197" s="0" t="str">
        <f aca="false">IF(Partidos!E99="","",Partidos!D99)</f>
        <v/>
      </c>
      <c r="D197" s="0" t="str">
        <f aca="false">IF(Partidos!E99="","",IF(Partidos!F99&gt;Partidos!D99,"G",IF(Partidos!F99=Partidos!D99,"E","P")))</f>
        <v/>
      </c>
      <c r="E197" s="0" t="str">
        <f aca="false">IF(Partidos!E99="","",IF(D197="G",3,IF(D197="E",1,0)))</f>
        <v/>
      </c>
    </row>
    <row r="198" customFormat="false" ht="15" hidden="false" customHeight="false" outlineLevel="0" collapsed="false">
      <c r="A198" s="0" t="str">
        <f aca="false">IF(Partidos!C100="","",Partidos!C100)</f>
        <v/>
      </c>
      <c r="B198" s="0" t="str">
        <f aca="false">IF(Partidos!C100="","",Partidos!D100)</f>
        <v/>
      </c>
      <c r="C198" s="0" t="str">
        <f aca="false">IF(Partidos!C100="","",Partidos!F100)</f>
        <v/>
      </c>
      <c r="D198" s="0" t="str">
        <f aca="false">IF(Partidos!C100="","",IF(Partidos!D100&gt;Partidos!F100,"G",IF(Partidos!D100=Partidos!F100,"E","P")))</f>
        <v/>
      </c>
      <c r="E198" s="0" t="str">
        <f aca="false">IF(Partidos!C100="","",IF(D198="G",3,IF(D198="E",1,0)))</f>
        <v/>
      </c>
    </row>
    <row r="199" customFormat="false" ht="15" hidden="false" customHeight="false" outlineLevel="0" collapsed="false">
      <c r="A199" s="0" t="str">
        <f aca="false">IF(Partidos!E100="","",Partidos!E100)</f>
        <v/>
      </c>
      <c r="B199" s="0" t="str">
        <f aca="false">IF(Partidos!E100="","",Partidos!F100)</f>
        <v/>
      </c>
      <c r="C199" s="0" t="str">
        <f aca="false">IF(Partidos!E100="","",Partidos!D100)</f>
        <v/>
      </c>
      <c r="D199" s="0" t="str">
        <f aca="false">IF(Partidos!E100="","",IF(Partidos!F100&gt;Partidos!D100,"G",IF(Partidos!F100=Partidos!D100,"E","P")))</f>
        <v/>
      </c>
      <c r="E199" s="0" t="str">
        <f aca="false">IF(Partidos!E100="","",IF(D199="G",3,IF(D199="E",1,0)))</f>
        <v/>
      </c>
    </row>
    <row r="200" customFormat="false" ht="15" hidden="false" customHeight="false" outlineLevel="0" collapsed="false">
      <c r="A200" s="0" t="str">
        <f aca="false">IF(Partidos!C101="","",Partidos!C101)</f>
        <v/>
      </c>
      <c r="B200" s="0" t="str">
        <f aca="false">IF(Partidos!C101="","",Partidos!D101)</f>
        <v/>
      </c>
      <c r="C200" s="0" t="str">
        <f aca="false">IF(Partidos!C101="","",Partidos!F101)</f>
        <v/>
      </c>
      <c r="D200" s="0" t="str">
        <f aca="false">IF(Partidos!C101="","",IF(Partidos!D101&gt;Partidos!F101,"G",IF(Partidos!D101=Partidos!F101,"E","P")))</f>
        <v/>
      </c>
      <c r="E200" s="0" t="str">
        <f aca="false">IF(Partidos!C101="","",IF(D200="G",3,IF(D200="E",1,0)))</f>
        <v/>
      </c>
    </row>
    <row r="201" customFormat="false" ht="15" hidden="false" customHeight="false" outlineLevel="0" collapsed="false">
      <c r="A201" s="0" t="str">
        <f aca="false">IF(Partidos!E101="","",Partidos!E101)</f>
        <v/>
      </c>
      <c r="B201" s="0" t="str">
        <f aca="false">IF(Partidos!E101="","",Partidos!F101)</f>
        <v/>
      </c>
      <c r="C201" s="0" t="str">
        <f aca="false">IF(Partidos!E101="","",Partidos!D101)</f>
        <v/>
      </c>
      <c r="D201" s="0" t="str">
        <f aca="false">IF(Partidos!E101="","",IF(Partidos!F101&gt;Partidos!D101,"G",IF(Partidos!F101=Partidos!D101,"E","P")))</f>
        <v/>
      </c>
      <c r="E201" s="0" t="str">
        <f aca="false">IF(Partidos!E101="","",IF(D201="G",3,IF(D201="E",1,0)))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3" ySplit="1" topLeftCell="N2" activePane="bottomRight" state="frozen"/>
      <selection pane="topLeft" activeCell="A1" activeCellId="0" sqref="A1"/>
      <selection pane="topRight" activeCell="N1" activeCellId="0" sqref="N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true" outlineLevel="0" max="12" min="1" style="0" width="13"/>
    <col collapsed="false" customWidth="true" hidden="false" outlineLevel="0" max="14" min="14" style="0" width="6"/>
    <col collapsed="false" customWidth="true" hidden="false" outlineLevel="0" max="15" min="15" style="0" width="28"/>
    <col collapsed="false" customWidth="true" hidden="false" outlineLevel="0" max="23" min="16" style="0" width="6"/>
  </cols>
  <sheetData>
    <row r="1" customFormat="false" ht="15" hidden="false" customHeight="false" outlineLevel="0" collapsed="false">
      <c r="A1" s="5" t="s">
        <v>12</v>
      </c>
      <c r="B1" s="5" t="s">
        <v>30</v>
      </c>
      <c r="C1" s="5" t="s">
        <v>31</v>
      </c>
      <c r="D1" s="5" t="s">
        <v>32</v>
      </c>
      <c r="E1" s="5" t="s">
        <v>33</v>
      </c>
      <c r="F1" s="5" t="s">
        <v>26</v>
      </c>
      <c r="G1" s="5" t="s">
        <v>27</v>
      </c>
      <c r="H1" s="5" t="s">
        <v>34</v>
      </c>
      <c r="I1" s="5" t="s">
        <v>35</v>
      </c>
      <c r="J1" s="5" t="s">
        <v>36</v>
      </c>
      <c r="K1" s="5" t="s">
        <v>37</v>
      </c>
      <c r="L1" s="5" t="s">
        <v>38</v>
      </c>
      <c r="N1" s="5" t="s">
        <v>38</v>
      </c>
      <c r="O1" s="5" t="s">
        <v>12</v>
      </c>
      <c r="P1" s="5" t="s">
        <v>30</v>
      </c>
      <c r="Q1" s="5" t="s">
        <v>31</v>
      </c>
      <c r="R1" s="5" t="s">
        <v>32</v>
      </c>
      <c r="S1" s="5" t="s">
        <v>33</v>
      </c>
      <c r="T1" s="5" t="s">
        <v>26</v>
      </c>
      <c r="U1" s="5" t="s">
        <v>27</v>
      </c>
      <c r="V1" s="5" t="s">
        <v>34</v>
      </c>
      <c r="W1" s="5" t="s">
        <v>35</v>
      </c>
    </row>
    <row r="2" customFormat="false" ht="15" hidden="false" customHeight="false" outlineLevel="0" collapsed="false">
      <c r="A2" s="0" t="str">
        <f aca="false">IF(Equipos!A2="","",Equipos!A2)</f>
        <v>X-GRAPHICS</v>
      </c>
      <c r="B2" s="0" t="n">
        <f aca="false">IF($A2="","",COUNTIF(Detalle!$A$2:$A$201,$A2))</f>
        <v>1</v>
      </c>
      <c r="C2" s="0" t="n">
        <f aca="false">IF($A2="","",COUNTIFS(Detalle!$A$2:$A$201,$A2,Detalle!$D$2:$D$201,"G"))</f>
        <v>0</v>
      </c>
      <c r="D2" s="0" t="n">
        <f aca="false">IF($A2="","",COUNTIFS(Detalle!$A$2:$A$201,$A2,Detalle!$D$2:$D$201,"E"))</f>
        <v>0</v>
      </c>
      <c r="E2" s="0" t="n">
        <f aca="false">IF($A2="","",COUNTIFS(Detalle!$A$2:$A$201,$A2,Detalle!$D$2:$D$201,"P"))</f>
        <v>1</v>
      </c>
      <c r="F2" s="0" t="n">
        <f aca="false">IF($A2="","",SUMIFS(Detalle!$B$2:$B$201,Detalle!$A$2:$A$201,$A2))</f>
        <v>1</v>
      </c>
      <c r="G2" s="0" t="n">
        <f aca="false">IF($A2="","",SUMIFS(Detalle!$C$2:$C$201,Detalle!$A$2:$A$201,$A2))</f>
        <v>6</v>
      </c>
      <c r="H2" s="0" t="n">
        <f aca="false">IF($A2="","",F2-G2)</f>
        <v>-5</v>
      </c>
      <c r="I2" s="0" t="n">
        <f aca="false">IF($A2="","",SUMIFS(Detalle!$E$2:$E$201,Detalle!$A$2:$A$201,$A2))</f>
        <v>0</v>
      </c>
      <c r="J2" s="0" t="n">
        <f aca="false">IF($A2="","",I2*1000+H2*10+F2)</f>
        <v>-49</v>
      </c>
      <c r="K2" s="0" t="n">
        <f aca="false">IF($A2="","",J2-ROW()/100000)</f>
        <v>-49.00002</v>
      </c>
      <c r="L2" s="0" t="n">
        <f aca="false">IF($A2="","",RANK(K2,$K$2:$K$18,0))</f>
        <v>6</v>
      </c>
      <c r="N2" s="7" t="n">
        <f aca="false">IF((ROW()-1)&lt;=COUNTA(Equipos!$A$2:$A$18),ROW()-1,"")</f>
        <v>1</v>
      </c>
      <c r="O2" s="8" t="str">
        <f aca="false">IFERROR(INDEX($A$2:$A$18,MATCH($N2,$L$2:$L$18,0)),"")</f>
        <v>ADH</v>
      </c>
      <c r="P2" s="9" t="n">
        <f aca="false">IFERROR(INDEX($B$2:$B$18,MATCH($N2,$L$2:$L$18,0)),"")</f>
        <v>1</v>
      </c>
      <c r="Q2" s="9" t="n">
        <f aca="false">IFERROR(INDEX($C$2:$C$18,MATCH($N2,$L$2:$L$18,0)),"")</f>
        <v>1</v>
      </c>
      <c r="R2" s="9" t="n">
        <f aca="false">IFERROR(INDEX($D$2:$D$18,MATCH($N2,$L$2:$L$18,0)),"")</f>
        <v>0</v>
      </c>
      <c r="S2" s="9" t="n">
        <f aca="false">IFERROR(INDEX($E$2:$E$18,MATCH($N2,$L$2:$L$18,0)),"")</f>
        <v>0</v>
      </c>
      <c r="T2" s="9" t="n">
        <f aca="false">IFERROR(INDEX($F$2:$F$18,MATCH($N2,$L$2:$L$18,0)),"")</f>
        <v>6</v>
      </c>
      <c r="U2" s="9" t="n">
        <f aca="false">IFERROR(INDEX($G$2:$G$18,MATCH($N2,$L$2:$L$18,0)),"")</f>
        <v>1</v>
      </c>
      <c r="V2" s="9" t="n">
        <f aca="false">IFERROR(INDEX($H$2:$H$18,MATCH($N2,$L$2:$L$18,0)),"")</f>
        <v>5</v>
      </c>
      <c r="W2" s="9" t="n">
        <f aca="false">IFERROR(INDEX($I$2:$I$18,MATCH($N2,$L$2:$L$18,0)),"")</f>
        <v>3</v>
      </c>
    </row>
    <row r="3" customFormat="false" ht="15" hidden="false" customHeight="false" outlineLevel="0" collapsed="false">
      <c r="A3" s="0" t="str">
        <f aca="false">IF(Equipos!A3="","",Equipos!A3)</f>
        <v>GRAFICAJAS</v>
      </c>
      <c r="B3" s="0" t="n">
        <f aca="false">IF($A3="","",COUNTIF(Detalle!$A$2:$A$201,$A3))</f>
        <v>1</v>
      </c>
      <c r="C3" s="0" t="n">
        <f aca="false">IF($A3="","",COUNTIFS(Detalle!$A$2:$A$201,$A3,Detalle!$D$2:$D$201,"G"))</f>
        <v>0</v>
      </c>
      <c r="D3" s="0" t="n">
        <f aca="false">IF($A3="","",COUNTIFS(Detalle!$A$2:$A$201,$A3,Detalle!$D$2:$D$201,"E"))</f>
        <v>0</v>
      </c>
      <c r="E3" s="0" t="n">
        <f aca="false">IF($A3="","",COUNTIFS(Detalle!$A$2:$A$201,$A3,Detalle!$D$2:$D$201,"P"))</f>
        <v>1</v>
      </c>
      <c r="F3" s="0" t="n">
        <f aca="false">IF($A3="","",SUMIFS(Detalle!$B$2:$B$201,Detalle!$A$2:$A$201,$A3))</f>
        <v>2</v>
      </c>
      <c r="G3" s="0" t="n">
        <f aca="false">IF($A3="","",SUMIFS(Detalle!$C$2:$C$201,Detalle!$A$2:$A$201,$A3))</f>
        <v>5</v>
      </c>
      <c r="H3" s="0" t="n">
        <f aca="false">IF($A3="","",F3-G3)</f>
        <v>-3</v>
      </c>
      <c r="I3" s="0" t="n">
        <f aca="false">IF($A3="","",SUMIFS(Detalle!$E$2:$E$201,Detalle!$A$2:$A$201,$A3))</f>
        <v>0</v>
      </c>
      <c r="J3" s="0" t="n">
        <f aca="false">IF($A3="","",I3*1000+H3*10+F3)</f>
        <v>-28</v>
      </c>
      <c r="K3" s="0" t="n">
        <f aca="false">IF($A3="","",J3-ROW()/100000)</f>
        <v>-28.00003</v>
      </c>
      <c r="L3" s="0" t="n">
        <f aca="false">IF($A3="","",RANK(K3,$K$2:$K$18,0))</f>
        <v>5</v>
      </c>
      <c r="N3" s="7" t="n">
        <f aca="false">IF((ROW()-1)&lt;=COUNTA(Equipos!$A$2:$A$18),ROW()-1,"")</f>
        <v>2</v>
      </c>
      <c r="O3" s="8" t="str">
        <f aca="false">IFERROR(INDEX($A$2:$A$18,MATCH($N3,$L$2:$L$18,0)),"")</f>
        <v>LEONARD</v>
      </c>
      <c r="P3" s="9" t="n">
        <f aca="false">IFERROR(INDEX($B$2:$B$18,MATCH($N3,$L$2:$L$18,0)),"")</f>
        <v>1</v>
      </c>
      <c r="Q3" s="9" t="n">
        <f aca="false">IFERROR(INDEX($C$2:$C$18,MATCH($N3,$L$2:$L$18,0)),"")</f>
        <v>1</v>
      </c>
      <c r="R3" s="9" t="n">
        <f aca="false">IFERROR(INDEX($D$2:$D$18,MATCH($N3,$L$2:$L$18,0)),"")</f>
        <v>0</v>
      </c>
      <c r="S3" s="9" t="n">
        <f aca="false">IFERROR(INDEX($E$2:$E$18,MATCH($N3,$L$2:$L$18,0)),"")</f>
        <v>0</v>
      </c>
      <c r="T3" s="9" t="n">
        <f aca="false">IFERROR(INDEX($F$2:$F$18,MATCH($N3,$L$2:$L$18,0)),"")</f>
        <v>5</v>
      </c>
      <c r="U3" s="9" t="n">
        <f aca="false">IFERROR(INDEX($G$2:$G$18,MATCH($N3,$L$2:$L$18,0)),"")</f>
        <v>2</v>
      </c>
      <c r="V3" s="9" t="n">
        <f aca="false">IFERROR(INDEX($H$2:$H$18,MATCH($N3,$L$2:$L$18,0)),"")</f>
        <v>3</v>
      </c>
      <c r="W3" s="9" t="n">
        <f aca="false">IFERROR(INDEX($I$2:$I$18,MATCH($N3,$L$2:$L$18,0)),"")</f>
        <v>3</v>
      </c>
    </row>
    <row r="4" customFormat="false" ht="15" hidden="false" customHeight="false" outlineLevel="0" collapsed="false">
      <c r="A4" s="0" t="str">
        <f aca="false">IF(Equipos!A4="","",Equipos!A4)</f>
        <v>ADH</v>
      </c>
      <c r="B4" s="0" t="n">
        <f aca="false">IF($A4="","",COUNTIF(Detalle!$A$2:$A$201,$A4))</f>
        <v>1</v>
      </c>
      <c r="C4" s="0" t="n">
        <f aca="false">IF($A4="","",COUNTIFS(Detalle!$A$2:$A$201,$A4,Detalle!$D$2:$D$201,"G"))</f>
        <v>1</v>
      </c>
      <c r="D4" s="0" t="n">
        <f aca="false">IF($A4="","",COUNTIFS(Detalle!$A$2:$A$201,$A4,Detalle!$D$2:$D$201,"E"))</f>
        <v>0</v>
      </c>
      <c r="E4" s="0" t="n">
        <f aca="false">IF($A4="","",COUNTIFS(Detalle!$A$2:$A$201,$A4,Detalle!$D$2:$D$201,"P"))</f>
        <v>0</v>
      </c>
      <c r="F4" s="0" t="n">
        <f aca="false">IF($A4="","",SUMIFS(Detalle!$B$2:$B$201,Detalle!$A$2:$A$201,$A4))</f>
        <v>6</v>
      </c>
      <c r="G4" s="0" t="n">
        <f aca="false">IF($A4="","",SUMIFS(Detalle!$C$2:$C$201,Detalle!$A$2:$A$201,$A4))</f>
        <v>1</v>
      </c>
      <c r="H4" s="0" t="n">
        <f aca="false">IF($A4="","",F4-G4)</f>
        <v>5</v>
      </c>
      <c r="I4" s="0" t="n">
        <f aca="false">IF($A4="","",SUMIFS(Detalle!$E$2:$E$201,Detalle!$A$2:$A$201,$A4))</f>
        <v>3</v>
      </c>
      <c r="J4" s="0" t="n">
        <f aca="false">IF($A4="","",I4*1000+H4*10+F4)</f>
        <v>3056</v>
      </c>
      <c r="K4" s="0" t="n">
        <f aca="false">IF($A4="","",J4-ROW()/100000)</f>
        <v>3055.99996</v>
      </c>
      <c r="L4" s="0" t="n">
        <f aca="false">IF($A4="","",RANK(K4,$K$2:$K$18,0))</f>
        <v>1</v>
      </c>
      <c r="N4" s="7" t="n">
        <f aca="false">IF((ROW()-1)&lt;=COUNTA(Equipos!$A$2:$A$18),ROW()-1,"")</f>
        <v>3</v>
      </c>
      <c r="O4" s="8" t="str">
        <f aca="false">IFERROR(INDEX($A$2:$A$18,MATCH($N4,$L$2:$L$18,0)),"")</f>
        <v>MACULA DEL MAL</v>
      </c>
      <c r="P4" s="9" t="n">
        <f aca="false">IFERROR(INDEX($B$2:$B$18,MATCH($N4,$L$2:$L$18,0)),"")</f>
        <v>1</v>
      </c>
      <c r="Q4" s="9" t="n">
        <f aca="false">IFERROR(INDEX($C$2:$C$18,MATCH($N4,$L$2:$L$18,0)),"")</f>
        <v>0</v>
      </c>
      <c r="R4" s="9" t="n">
        <f aca="false">IFERROR(INDEX($D$2:$D$18,MATCH($N4,$L$2:$L$18,0)),"")</f>
        <v>1</v>
      </c>
      <c r="S4" s="9" t="n">
        <f aca="false">IFERROR(INDEX($E$2:$E$18,MATCH($N4,$L$2:$L$18,0)),"")</f>
        <v>0</v>
      </c>
      <c r="T4" s="9" t="n">
        <f aca="false">IFERROR(INDEX($F$2:$F$18,MATCH($N4,$L$2:$L$18,0)),"")</f>
        <v>4</v>
      </c>
      <c r="U4" s="9" t="n">
        <f aca="false">IFERROR(INDEX($G$2:$G$18,MATCH($N4,$L$2:$L$18,0)),"")</f>
        <v>4</v>
      </c>
      <c r="V4" s="9" t="n">
        <f aca="false">IFERROR(INDEX($H$2:$H$18,MATCH($N4,$L$2:$L$18,0)),"")</f>
        <v>0</v>
      </c>
      <c r="W4" s="9" t="n">
        <f aca="false">IFERROR(INDEX($I$2:$I$18,MATCH($N4,$L$2:$L$18,0)),"")</f>
        <v>1</v>
      </c>
    </row>
    <row r="5" customFormat="false" ht="15" hidden="false" customHeight="false" outlineLevel="0" collapsed="false">
      <c r="A5" s="0" t="str">
        <f aca="false">IF(Equipos!A5="","",Equipos!A5)</f>
        <v>LEONARD</v>
      </c>
      <c r="B5" s="0" t="n">
        <f aca="false">IF($A5="","",COUNTIF(Detalle!$A$2:$A$201,$A5))</f>
        <v>1</v>
      </c>
      <c r="C5" s="0" t="n">
        <f aca="false">IF($A5="","",COUNTIFS(Detalle!$A$2:$A$201,$A5,Detalle!$D$2:$D$201,"G"))</f>
        <v>1</v>
      </c>
      <c r="D5" s="0" t="n">
        <f aca="false">IF($A5="","",COUNTIFS(Detalle!$A$2:$A$201,$A5,Detalle!$D$2:$D$201,"E"))</f>
        <v>0</v>
      </c>
      <c r="E5" s="0" t="n">
        <f aca="false">IF($A5="","",COUNTIFS(Detalle!$A$2:$A$201,$A5,Detalle!$D$2:$D$201,"P"))</f>
        <v>0</v>
      </c>
      <c r="F5" s="0" t="n">
        <f aca="false">IF($A5="","",SUMIFS(Detalle!$B$2:$B$201,Detalle!$A$2:$A$201,$A5))</f>
        <v>5</v>
      </c>
      <c r="G5" s="0" t="n">
        <f aca="false">IF($A5="","",SUMIFS(Detalle!$C$2:$C$201,Detalle!$A$2:$A$201,$A5))</f>
        <v>2</v>
      </c>
      <c r="H5" s="0" t="n">
        <f aca="false">IF($A5="","",F5-G5)</f>
        <v>3</v>
      </c>
      <c r="I5" s="0" t="n">
        <f aca="false">IF($A5="","",SUMIFS(Detalle!$E$2:$E$201,Detalle!$A$2:$A$201,$A5))</f>
        <v>3</v>
      </c>
      <c r="J5" s="0" t="n">
        <f aca="false">IF($A5="","",I5*1000+H5*10+F5)</f>
        <v>3035</v>
      </c>
      <c r="K5" s="0" t="n">
        <f aca="false">IF($A5="","",J5-ROW()/100000)</f>
        <v>3034.99995</v>
      </c>
      <c r="L5" s="0" t="n">
        <f aca="false">IF($A5="","",RANK(K5,$K$2:$K$18,0))</f>
        <v>2</v>
      </c>
      <c r="N5" s="7" t="n">
        <f aca="false">IF((ROW()-1)&lt;=COUNTA(Equipos!$A$2:$A$18),ROW()-1,"")</f>
        <v>4</v>
      </c>
      <c r="O5" s="8" t="str">
        <f aca="false">IFERROR(INDEX($A$2:$A$18,MATCH($N5,$L$2:$L$18,0)),"")</f>
        <v>MULTIAVISOS DE LA 12</v>
      </c>
      <c r="P5" s="9" t="n">
        <f aca="false">IFERROR(INDEX($B$2:$B$18,MATCH($N5,$L$2:$L$18,0)),"")</f>
        <v>1</v>
      </c>
      <c r="Q5" s="9" t="n">
        <f aca="false">IFERROR(INDEX($C$2:$C$18,MATCH($N5,$L$2:$L$18,0)),"")</f>
        <v>0</v>
      </c>
      <c r="R5" s="9" t="n">
        <f aca="false">IFERROR(INDEX($D$2:$D$18,MATCH($N5,$L$2:$L$18,0)),"")</f>
        <v>1</v>
      </c>
      <c r="S5" s="9" t="n">
        <f aca="false">IFERROR(INDEX($E$2:$E$18,MATCH($N5,$L$2:$L$18,0)),"")</f>
        <v>0</v>
      </c>
      <c r="T5" s="9" t="n">
        <f aca="false">IFERROR(INDEX($F$2:$F$18,MATCH($N5,$L$2:$L$18,0)),"")</f>
        <v>4</v>
      </c>
      <c r="U5" s="9" t="n">
        <f aca="false">IFERROR(INDEX($G$2:$G$18,MATCH($N5,$L$2:$L$18,0)),"")</f>
        <v>4</v>
      </c>
      <c r="V5" s="9" t="n">
        <f aca="false">IFERROR(INDEX($H$2:$H$18,MATCH($N5,$L$2:$L$18,0)),"")</f>
        <v>0</v>
      </c>
      <c r="W5" s="9" t="n">
        <f aca="false">IFERROR(INDEX($I$2:$I$18,MATCH($N5,$L$2:$L$18,0)),"")</f>
        <v>1</v>
      </c>
    </row>
    <row r="6" customFormat="false" ht="15" hidden="false" customHeight="false" outlineLevel="0" collapsed="false">
      <c r="A6" s="0" t="str">
        <f aca="false">IF(Equipos!A6="","",Equipos!A6)</f>
        <v>MACULA DEL MAL</v>
      </c>
      <c r="B6" s="0" t="n">
        <f aca="false">IF($A6="","",COUNTIF(Detalle!$A$2:$A$201,$A6))</f>
        <v>1</v>
      </c>
      <c r="C6" s="0" t="n">
        <f aca="false">IF($A6="","",COUNTIFS(Detalle!$A$2:$A$201,$A6,Detalle!$D$2:$D$201,"G"))</f>
        <v>0</v>
      </c>
      <c r="D6" s="0" t="n">
        <f aca="false">IF($A6="","",COUNTIFS(Detalle!$A$2:$A$201,$A6,Detalle!$D$2:$D$201,"E"))</f>
        <v>1</v>
      </c>
      <c r="E6" s="0" t="n">
        <f aca="false">IF($A6="","",COUNTIFS(Detalle!$A$2:$A$201,$A6,Detalle!$D$2:$D$201,"P"))</f>
        <v>0</v>
      </c>
      <c r="F6" s="0" t="n">
        <f aca="false">IF($A6="","",SUMIFS(Detalle!$B$2:$B$201,Detalle!$A$2:$A$201,$A6))</f>
        <v>4</v>
      </c>
      <c r="G6" s="0" t="n">
        <f aca="false">IF($A6="","",SUMIFS(Detalle!$C$2:$C$201,Detalle!$A$2:$A$201,$A6))</f>
        <v>4</v>
      </c>
      <c r="H6" s="0" t="n">
        <f aca="false">IF($A6="","",F6-G6)</f>
        <v>0</v>
      </c>
      <c r="I6" s="0" t="n">
        <f aca="false">IF($A6="","",SUMIFS(Detalle!$E$2:$E$201,Detalle!$A$2:$A$201,$A6))</f>
        <v>1</v>
      </c>
      <c r="J6" s="0" t="n">
        <f aca="false">IF($A6="","",I6*1000+H6*10+F6)</f>
        <v>1004</v>
      </c>
      <c r="K6" s="0" t="n">
        <f aca="false">IF($A6="","",J6-ROW()/100000)</f>
        <v>1003.99994</v>
      </c>
      <c r="L6" s="0" t="n">
        <f aca="false">IF($A6="","",RANK(K6,$K$2:$K$18,0))</f>
        <v>3</v>
      </c>
      <c r="N6" s="7" t="n">
        <f aca="false">IF((ROW()-1)&lt;=COUNTA(Equipos!$A$2:$A$18),ROW()-1,"")</f>
        <v>5</v>
      </c>
      <c r="O6" s="8" t="str">
        <f aca="false">IFERROR(INDEX($A$2:$A$18,MATCH($N6,$L$2:$L$18,0)),"")</f>
        <v>GRAFICAJAS</v>
      </c>
      <c r="P6" s="9" t="n">
        <f aca="false">IFERROR(INDEX($B$2:$B$18,MATCH($N6,$L$2:$L$18,0)),"")</f>
        <v>1</v>
      </c>
      <c r="Q6" s="9" t="n">
        <f aca="false">IFERROR(INDEX($C$2:$C$18,MATCH($N6,$L$2:$L$18,0)),"")</f>
        <v>0</v>
      </c>
      <c r="R6" s="9" t="n">
        <f aca="false">IFERROR(INDEX($D$2:$D$18,MATCH($N6,$L$2:$L$18,0)),"")</f>
        <v>0</v>
      </c>
      <c r="S6" s="9" t="n">
        <f aca="false">IFERROR(INDEX($E$2:$E$18,MATCH($N6,$L$2:$L$18,0)),"")</f>
        <v>1</v>
      </c>
      <c r="T6" s="9" t="n">
        <f aca="false">IFERROR(INDEX($F$2:$F$18,MATCH($N6,$L$2:$L$18,0)),"")</f>
        <v>2</v>
      </c>
      <c r="U6" s="9" t="n">
        <f aca="false">IFERROR(INDEX($G$2:$G$18,MATCH($N6,$L$2:$L$18,0)),"")</f>
        <v>5</v>
      </c>
      <c r="V6" s="9" t="n">
        <f aca="false">IFERROR(INDEX($H$2:$H$18,MATCH($N6,$L$2:$L$18,0)),"")</f>
        <v>-3</v>
      </c>
      <c r="W6" s="9" t="n">
        <f aca="false">IFERROR(INDEX($I$2:$I$18,MATCH($N6,$L$2:$L$18,0)),"")</f>
        <v>0</v>
      </c>
    </row>
    <row r="7" customFormat="false" ht="15" hidden="false" customHeight="false" outlineLevel="0" collapsed="false">
      <c r="A7" s="0" t="str">
        <f aca="false">IF(Equipos!A7="","",Equipos!A7)</f>
        <v>MULTIAVISOS DE LA 12</v>
      </c>
      <c r="B7" s="0" t="n">
        <f aca="false">IF($A7="","",COUNTIF(Detalle!$A$2:$A$201,$A7))</f>
        <v>1</v>
      </c>
      <c r="C7" s="0" t="n">
        <f aca="false">IF($A7="","",COUNTIFS(Detalle!$A$2:$A$201,$A7,Detalle!$D$2:$D$201,"G"))</f>
        <v>0</v>
      </c>
      <c r="D7" s="0" t="n">
        <f aca="false">IF($A7="","",COUNTIFS(Detalle!$A$2:$A$201,$A7,Detalle!$D$2:$D$201,"E"))</f>
        <v>1</v>
      </c>
      <c r="E7" s="0" t="n">
        <f aca="false">IF($A7="","",COUNTIFS(Detalle!$A$2:$A$201,$A7,Detalle!$D$2:$D$201,"P"))</f>
        <v>0</v>
      </c>
      <c r="F7" s="0" t="n">
        <f aca="false">IF($A7="","",SUMIFS(Detalle!$B$2:$B$201,Detalle!$A$2:$A$201,$A7))</f>
        <v>4</v>
      </c>
      <c r="G7" s="0" t="n">
        <f aca="false">IF($A7="","",SUMIFS(Detalle!$C$2:$C$201,Detalle!$A$2:$A$201,$A7))</f>
        <v>4</v>
      </c>
      <c r="H7" s="0" t="n">
        <f aca="false">IF($A7="","",F7-G7)</f>
        <v>0</v>
      </c>
      <c r="I7" s="0" t="n">
        <f aca="false">IF($A7="","",SUMIFS(Detalle!$E$2:$E$201,Detalle!$A$2:$A$201,$A7))</f>
        <v>1</v>
      </c>
      <c r="J7" s="0" t="n">
        <f aca="false">IF($A7="","",I7*1000+H7*10+F7)</f>
        <v>1004</v>
      </c>
      <c r="K7" s="0" t="n">
        <f aca="false">IF($A7="","",J7-ROW()/100000)</f>
        <v>1003.99993</v>
      </c>
      <c r="L7" s="0" t="n">
        <f aca="false">IF($A7="","",RANK(K7,$K$2:$K$18,0))</f>
        <v>4</v>
      </c>
      <c r="N7" s="7" t="n">
        <f aca="false">IF((ROW()-1)&lt;=COUNTA(Equipos!$A$2:$A$18),ROW()-1,"")</f>
        <v>6</v>
      </c>
      <c r="O7" s="8" t="str">
        <f aca="false">IFERROR(INDEX($A$2:$A$18,MATCH($N7,$L$2:$L$18,0)),"")</f>
        <v>X-GRAPHICS</v>
      </c>
      <c r="P7" s="9" t="n">
        <f aca="false">IFERROR(INDEX($B$2:$B$18,MATCH($N7,$L$2:$L$18,0)),"")</f>
        <v>1</v>
      </c>
      <c r="Q7" s="9" t="n">
        <f aca="false">IFERROR(INDEX($C$2:$C$18,MATCH($N7,$L$2:$L$18,0)),"")</f>
        <v>0</v>
      </c>
      <c r="R7" s="9" t="n">
        <f aca="false">IFERROR(INDEX($D$2:$D$18,MATCH($N7,$L$2:$L$18,0)),"")</f>
        <v>0</v>
      </c>
      <c r="S7" s="9" t="n">
        <f aca="false">IFERROR(INDEX($E$2:$E$18,MATCH($N7,$L$2:$L$18,0)),"")</f>
        <v>1</v>
      </c>
      <c r="T7" s="9" t="n">
        <f aca="false">IFERROR(INDEX($F$2:$F$18,MATCH($N7,$L$2:$L$18,0)),"")</f>
        <v>1</v>
      </c>
      <c r="U7" s="9" t="n">
        <f aca="false">IFERROR(INDEX($G$2:$G$18,MATCH($N7,$L$2:$L$18,0)),"")</f>
        <v>6</v>
      </c>
      <c r="V7" s="9" t="n">
        <f aca="false">IFERROR(INDEX($H$2:$H$18,MATCH($N7,$L$2:$L$18,0)),"")</f>
        <v>-5</v>
      </c>
      <c r="W7" s="9" t="n">
        <f aca="false">IFERROR(INDEX($I$2:$I$18,MATCH($N7,$L$2:$L$18,0)),"")</f>
        <v>0</v>
      </c>
    </row>
    <row r="8" customFormat="false" ht="15" hidden="false" customHeight="false" outlineLevel="0" collapsed="false">
      <c r="A8" s="0" t="str">
        <f aca="false">IF(Equipos!A8="","",Equipos!A8)</f>
        <v/>
      </c>
      <c r="B8" s="0" t="str">
        <f aca="false">IF($A8="","",COUNTIF(Detalle!$A$2:$A$201,$A8))</f>
        <v/>
      </c>
      <c r="C8" s="0" t="str">
        <f aca="false">IF($A8="","",COUNTIFS(Detalle!$A$2:$A$201,$A8,Detalle!$D$2:$D$201,"G"))</f>
        <v/>
      </c>
      <c r="D8" s="0" t="str">
        <f aca="false">IF($A8="","",COUNTIFS(Detalle!$A$2:$A$201,$A8,Detalle!$D$2:$D$201,"E"))</f>
        <v/>
      </c>
      <c r="E8" s="0" t="str">
        <f aca="false">IF($A8="","",COUNTIFS(Detalle!$A$2:$A$201,$A8,Detalle!$D$2:$D$201,"P"))</f>
        <v/>
      </c>
      <c r="F8" s="0" t="str">
        <f aca="false">IF($A8="","",SUMIFS(Detalle!$B$2:$B$201,Detalle!$A$2:$A$201,$A8))</f>
        <v/>
      </c>
      <c r="G8" s="0" t="str">
        <f aca="false">IF($A8="","",SUMIFS(Detalle!$C$2:$C$201,Detalle!$A$2:$A$201,$A8))</f>
        <v/>
      </c>
      <c r="H8" s="0" t="str">
        <f aca="false">IF($A8="","",F8-G8)</f>
        <v/>
      </c>
      <c r="I8" s="0" t="str">
        <f aca="false">IF($A8="","",SUMIFS(Detalle!$E$2:$E$201,Detalle!$A$2:$A$201,$A8))</f>
        <v/>
      </c>
      <c r="J8" s="0" t="str">
        <f aca="false">IF($A8="","",I8*1000+H8*10+F8)</f>
        <v/>
      </c>
      <c r="K8" s="0" t="str">
        <f aca="false">IF($A8="","",J8-ROW()/100000)</f>
        <v/>
      </c>
      <c r="L8" s="0" t="str">
        <f aca="false">IF($A8="","",RANK(K8,$K$2:$K$18,0))</f>
        <v/>
      </c>
      <c r="N8" s="7" t="str">
        <f aca="false">IF((ROW()-1)&lt;=COUNTA(Equipos!$A$2:$A$18),ROW()-1,"")</f>
        <v/>
      </c>
      <c r="O8" s="8" t="str">
        <f aca="false">IFERROR(INDEX($A$2:$A$18,MATCH($N8,$L$2:$L$18,0)),"")</f>
        <v/>
      </c>
      <c r="P8" s="9" t="str">
        <f aca="false">IFERROR(INDEX($B$2:$B$18,MATCH($N8,$L$2:$L$18,0)),"")</f>
        <v/>
      </c>
      <c r="Q8" s="9" t="str">
        <f aca="false">IFERROR(INDEX($C$2:$C$18,MATCH($N8,$L$2:$L$18,0)),"")</f>
        <v/>
      </c>
      <c r="R8" s="9" t="str">
        <f aca="false">IFERROR(INDEX($D$2:$D$18,MATCH($N8,$L$2:$L$18,0)),"")</f>
        <v/>
      </c>
      <c r="S8" s="9" t="str">
        <f aca="false">IFERROR(INDEX($E$2:$E$18,MATCH($N8,$L$2:$L$18,0)),"")</f>
        <v/>
      </c>
      <c r="T8" s="9" t="str">
        <f aca="false">IFERROR(INDEX($F$2:$F$18,MATCH($N8,$L$2:$L$18,0)),"")</f>
        <v/>
      </c>
      <c r="U8" s="9" t="str">
        <f aca="false">IFERROR(INDEX($G$2:$G$18,MATCH($N8,$L$2:$L$18,0)),"")</f>
        <v/>
      </c>
      <c r="V8" s="9" t="str">
        <f aca="false">IFERROR(INDEX($H$2:$H$18,MATCH($N8,$L$2:$L$18,0)),"")</f>
        <v/>
      </c>
      <c r="W8" s="9" t="str">
        <f aca="false">IFERROR(INDEX($I$2:$I$18,MATCH($N8,$L$2:$L$18,0)),"")</f>
        <v/>
      </c>
    </row>
    <row r="9" customFormat="false" ht="15" hidden="false" customHeight="false" outlineLevel="0" collapsed="false">
      <c r="A9" s="0" t="str">
        <f aca="false">IF(Equipos!A9="","",Equipos!A9)</f>
        <v/>
      </c>
      <c r="B9" s="0" t="str">
        <f aca="false">IF($A9="","",COUNTIF(Detalle!$A$2:$A$201,$A9))</f>
        <v/>
      </c>
      <c r="C9" s="0" t="str">
        <f aca="false">IF($A9="","",COUNTIFS(Detalle!$A$2:$A$201,$A9,Detalle!$D$2:$D$201,"G"))</f>
        <v/>
      </c>
      <c r="D9" s="0" t="str">
        <f aca="false">IF($A9="","",COUNTIFS(Detalle!$A$2:$A$201,$A9,Detalle!$D$2:$D$201,"E"))</f>
        <v/>
      </c>
      <c r="E9" s="0" t="str">
        <f aca="false">IF($A9="","",COUNTIFS(Detalle!$A$2:$A$201,$A9,Detalle!$D$2:$D$201,"P"))</f>
        <v/>
      </c>
      <c r="F9" s="0" t="str">
        <f aca="false">IF($A9="","",SUMIFS(Detalle!$B$2:$B$201,Detalle!$A$2:$A$201,$A9))</f>
        <v/>
      </c>
      <c r="G9" s="0" t="str">
        <f aca="false">IF($A9="","",SUMIFS(Detalle!$C$2:$C$201,Detalle!$A$2:$A$201,$A9))</f>
        <v/>
      </c>
      <c r="H9" s="0" t="str">
        <f aca="false">IF($A9="","",F9-G9)</f>
        <v/>
      </c>
      <c r="I9" s="0" t="str">
        <f aca="false">IF($A9="","",SUMIFS(Detalle!$E$2:$E$201,Detalle!$A$2:$A$201,$A9))</f>
        <v/>
      </c>
      <c r="J9" s="0" t="str">
        <f aca="false">IF($A9="","",I9*1000+H9*10+F9)</f>
        <v/>
      </c>
      <c r="K9" s="0" t="str">
        <f aca="false">IF($A9="","",J9-ROW()/100000)</f>
        <v/>
      </c>
      <c r="L9" s="0" t="str">
        <f aca="false">IF($A9="","",RANK(K9,$K$2:$K$18,0))</f>
        <v/>
      </c>
      <c r="N9" s="7" t="str">
        <f aca="false">IF((ROW()-1)&lt;=COUNTA(Equipos!$A$2:$A$18),ROW()-1,"")</f>
        <v/>
      </c>
      <c r="O9" s="8" t="str">
        <f aca="false">IFERROR(INDEX($A$2:$A$18,MATCH($N9,$L$2:$L$18,0)),"")</f>
        <v/>
      </c>
      <c r="P9" s="9" t="str">
        <f aca="false">IFERROR(INDEX($B$2:$B$18,MATCH($N9,$L$2:$L$18,0)),"")</f>
        <v/>
      </c>
      <c r="Q9" s="9" t="str">
        <f aca="false">IFERROR(INDEX($C$2:$C$18,MATCH($N9,$L$2:$L$18,0)),"")</f>
        <v/>
      </c>
      <c r="R9" s="9" t="str">
        <f aca="false">IFERROR(INDEX($D$2:$D$18,MATCH($N9,$L$2:$L$18,0)),"")</f>
        <v/>
      </c>
      <c r="S9" s="9" t="str">
        <f aca="false">IFERROR(INDEX($E$2:$E$18,MATCH($N9,$L$2:$L$18,0)),"")</f>
        <v/>
      </c>
      <c r="T9" s="9" t="str">
        <f aca="false">IFERROR(INDEX($F$2:$F$18,MATCH($N9,$L$2:$L$18,0)),"")</f>
        <v/>
      </c>
      <c r="U9" s="9" t="str">
        <f aca="false">IFERROR(INDEX($G$2:$G$18,MATCH($N9,$L$2:$L$18,0)),"")</f>
        <v/>
      </c>
      <c r="V9" s="9" t="str">
        <f aca="false">IFERROR(INDEX($H$2:$H$18,MATCH($N9,$L$2:$L$18,0)),"")</f>
        <v/>
      </c>
      <c r="W9" s="9" t="str">
        <f aca="false">IFERROR(INDEX($I$2:$I$18,MATCH($N9,$L$2:$L$18,0)),"")</f>
        <v/>
      </c>
    </row>
    <row r="10" customFormat="false" ht="15" hidden="false" customHeight="false" outlineLevel="0" collapsed="false">
      <c r="A10" s="0" t="str">
        <f aca="false">IF(Equipos!A10="","",Equipos!A10)</f>
        <v/>
      </c>
      <c r="B10" s="0" t="str">
        <f aca="false">IF($A10="","",COUNTIF(Detalle!$A$2:$A$201,$A10))</f>
        <v/>
      </c>
      <c r="C10" s="0" t="str">
        <f aca="false">IF($A10="","",COUNTIFS(Detalle!$A$2:$A$201,$A10,Detalle!$D$2:$D$201,"G"))</f>
        <v/>
      </c>
      <c r="D10" s="0" t="str">
        <f aca="false">IF($A10="","",COUNTIFS(Detalle!$A$2:$A$201,$A10,Detalle!$D$2:$D$201,"E"))</f>
        <v/>
      </c>
      <c r="E10" s="0" t="str">
        <f aca="false">IF($A10="","",COUNTIFS(Detalle!$A$2:$A$201,$A10,Detalle!$D$2:$D$201,"P"))</f>
        <v/>
      </c>
      <c r="F10" s="0" t="str">
        <f aca="false">IF($A10="","",SUMIFS(Detalle!$B$2:$B$201,Detalle!$A$2:$A$201,$A10))</f>
        <v/>
      </c>
      <c r="G10" s="0" t="str">
        <f aca="false">IF($A10="","",SUMIFS(Detalle!$C$2:$C$201,Detalle!$A$2:$A$201,$A10))</f>
        <v/>
      </c>
      <c r="H10" s="0" t="str">
        <f aca="false">IF($A10="","",F10-G10)</f>
        <v/>
      </c>
      <c r="I10" s="0" t="str">
        <f aca="false">IF($A10="","",SUMIFS(Detalle!$E$2:$E$201,Detalle!$A$2:$A$201,$A10))</f>
        <v/>
      </c>
      <c r="J10" s="0" t="str">
        <f aca="false">IF($A10="","",I10*1000+H10*10+F10)</f>
        <v/>
      </c>
      <c r="K10" s="0" t="str">
        <f aca="false">IF($A10="","",J10-ROW()/100000)</f>
        <v/>
      </c>
      <c r="L10" s="0" t="str">
        <f aca="false">IF($A10="","",RANK(K10,$K$2:$K$18,0))</f>
        <v/>
      </c>
      <c r="N10" s="7" t="str">
        <f aca="false">IF((ROW()-1)&lt;=COUNTA(Equipos!$A$2:$A$18),ROW()-1,"")</f>
        <v/>
      </c>
      <c r="O10" s="8" t="str">
        <f aca="false">IFERROR(INDEX($A$2:$A$18,MATCH($N10,$L$2:$L$18,0)),"")</f>
        <v/>
      </c>
      <c r="P10" s="9" t="str">
        <f aca="false">IFERROR(INDEX($B$2:$B$18,MATCH($N10,$L$2:$L$18,0)),"")</f>
        <v/>
      </c>
      <c r="Q10" s="9" t="str">
        <f aca="false">IFERROR(INDEX($C$2:$C$18,MATCH($N10,$L$2:$L$18,0)),"")</f>
        <v/>
      </c>
      <c r="R10" s="9" t="str">
        <f aca="false">IFERROR(INDEX($D$2:$D$18,MATCH($N10,$L$2:$L$18,0)),"")</f>
        <v/>
      </c>
      <c r="S10" s="9" t="str">
        <f aca="false">IFERROR(INDEX($E$2:$E$18,MATCH($N10,$L$2:$L$18,0)),"")</f>
        <v/>
      </c>
      <c r="T10" s="9" t="str">
        <f aca="false">IFERROR(INDEX($F$2:$F$18,MATCH($N10,$L$2:$L$18,0)),"")</f>
        <v/>
      </c>
      <c r="U10" s="9" t="str">
        <f aca="false">IFERROR(INDEX($G$2:$G$18,MATCH($N10,$L$2:$L$18,0)),"")</f>
        <v/>
      </c>
      <c r="V10" s="9" t="str">
        <f aca="false">IFERROR(INDEX($H$2:$H$18,MATCH($N10,$L$2:$L$18,0)),"")</f>
        <v/>
      </c>
      <c r="W10" s="9" t="str">
        <f aca="false">IFERROR(INDEX($I$2:$I$18,MATCH($N10,$L$2:$L$18,0)),"")</f>
        <v/>
      </c>
    </row>
    <row r="11" customFormat="false" ht="15" hidden="false" customHeight="false" outlineLevel="0" collapsed="false">
      <c r="A11" s="0" t="str">
        <f aca="false">IF(Equipos!A11="","",Equipos!A11)</f>
        <v/>
      </c>
      <c r="B11" s="0" t="str">
        <f aca="false">IF($A11="","",COUNTIF(Detalle!$A$2:$A$201,$A11))</f>
        <v/>
      </c>
      <c r="C11" s="0" t="str">
        <f aca="false">IF($A11="","",COUNTIFS(Detalle!$A$2:$A$201,$A11,Detalle!$D$2:$D$201,"G"))</f>
        <v/>
      </c>
      <c r="D11" s="0" t="str">
        <f aca="false">IF($A11="","",COUNTIFS(Detalle!$A$2:$A$201,$A11,Detalle!$D$2:$D$201,"E"))</f>
        <v/>
      </c>
      <c r="E11" s="0" t="str">
        <f aca="false">IF($A11="","",COUNTIFS(Detalle!$A$2:$A$201,$A11,Detalle!$D$2:$D$201,"P"))</f>
        <v/>
      </c>
      <c r="F11" s="0" t="str">
        <f aca="false">IF($A11="","",SUMIFS(Detalle!$B$2:$B$201,Detalle!$A$2:$A$201,$A11))</f>
        <v/>
      </c>
      <c r="G11" s="0" t="str">
        <f aca="false">IF($A11="","",SUMIFS(Detalle!$C$2:$C$201,Detalle!$A$2:$A$201,$A11))</f>
        <v/>
      </c>
      <c r="H11" s="0" t="str">
        <f aca="false">IF($A11="","",F11-G11)</f>
        <v/>
      </c>
      <c r="I11" s="0" t="str">
        <f aca="false">IF($A11="","",SUMIFS(Detalle!$E$2:$E$201,Detalle!$A$2:$A$201,$A11))</f>
        <v/>
      </c>
      <c r="J11" s="0" t="str">
        <f aca="false">IF($A11="","",I11*1000+H11*10+F11)</f>
        <v/>
      </c>
      <c r="K11" s="0" t="str">
        <f aca="false">IF($A11="","",J11-ROW()/100000)</f>
        <v/>
      </c>
      <c r="L11" s="0" t="str">
        <f aca="false">IF($A11="","",RANK(K11,$K$2:$K$18,0))</f>
        <v/>
      </c>
      <c r="N11" s="7" t="str">
        <f aca="false">IF((ROW()-1)&lt;=COUNTA(Equipos!$A$2:$A$18),ROW()-1,"")</f>
        <v/>
      </c>
      <c r="O11" s="8" t="str">
        <f aca="false">IFERROR(INDEX($A$2:$A$18,MATCH($N11,$L$2:$L$18,0)),"")</f>
        <v/>
      </c>
      <c r="P11" s="9" t="str">
        <f aca="false">IFERROR(INDEX($B$2:$B$18,MATCH($N11,$L$2:$L$18,0)),"")</f>
        <v/>
      </c>
      <c r="Q11" s="9" t="str">
        <f aca="false">IFERROR(INDEX($C$2:$C$18,MATCH($N11,$L$2:$L$18,0)),"")</f>
        <v/>
      </c>
      <c r="R11" s="9" t="str">
        <f aca="false">IFERROR(INDEX($D$2:$D$18,MATCH($N11,$L$2:$L$18,0)),"")</f>
        <v/>
      </c>
      <c r="S11" s="9" t="str">
        <f aca="false">IFERROR(INDEX($E$2:$E$18,MATCH($N11,$L$2:$L$18,0)),"")</f>
        <v/>
      </c>
      <c r="T11" s="9" t="str">
        <f aca="false">IFERROR(INDEX($F$2:$F$18,MATCH($N11,$L$2:$L$18,0)),"")</f>
        <v/>
      </c>
      <c r="U11" s="9" t="str">
        <f aca="false">IFERROR(INDEX($G$2:$G$18,MATCH($N11,$L$2:$L$18,0)),"")</f>
        <v/>
      </c>
      <c r="V11" s="9" t="str">
        <f aca="false">IFERROR(INDEX($H$2:$H$18,MATCH($N11,$L$2:$L$18,0)),"")</f>
        <v/>
      </c>
      <c r="W11" s="9" t="str">
        <f aca="false">IFERROR(INDEX($I$2:$I$18,MATCH($N11,$L$2:$L$18,0)),"")</f>
        <v/>
      </c>
    </row>
    <row r="12" customFormat="false" ht="15" hidden="false" customHeight="false" outlineLevel="0" collapsed="false">
      <c r="A12" s="0" t="str">
        <f aca="false">IF(Equipos!A12="","",Equipos!A12)</f>
        <v/>
      </c>
      <c r="B12" s="0" t="str">
        <f aca="false">IF($A12="","",COUNTIF(Detalle!$A$2:$A$201,$A12))</f>
        <v/>
      </c>
      <c r="C12" s="0" t="str">
        <f aca="false">IF($A12="","",COUNTIFS(Detalle!$A$2:$A$201,$A12,Detalle!$D$2:$D$201,"G"))</f>
        <v/>
      </c>
      <c r="D12" s="0" t="str">
        <f aca="false">IF($A12="","",COUNTIFS(Detalle!$A$2:$A$201,$A12,Detalle!$D$2:$D$201,"E"))</f>
        <v/>
      </c>
      <c r="E12" s="0" t="str">
        <f aca="false">IF($A12="","",COUNTIFS(Detalle!$A$2:$A$201,$A12,Detalle!$D$2:$D$201,"P"))</f>
        <v/>
      </c>
      <c r="F12" s="0" t="str">
        <f aca="false">IF($A12="","",SUMIFS(Detalle!$B$2:$B$201,Detalle!$A$2:$A$201,$A12))</f>
        <v/>
      </c>
      <c r="G12" s="0" t="str">
        <f aca="false">IF($A12="","",SUMIFS(Detalle!$C$2:$C$201,Detalle!$A$2:$A$201,$A12))</f>
        <v/>
      </c>
      <c r="H12" s="0" t="str">
        <f aca="false">IF($A12="","",F12-G12)</f>
        <v/>
      </c>
      <c r="I12" s="0" t="str">
        <f aca="false">IF($A12="","",SUMIFS(Detalle!$E$2:$E$201,Detalle!$A$2:$A$201,$A12))</f>
        <v/>
      </c>
      <c r="J12" s="0" t="str">
        <f aca="false">IF($A12="","",I12*1000+H12*10+F12)</f>
        <v/>
      </c>
      <c r="K12" s="0" t="str">
        <f aca="false">IF($A12="","",J12-ROW()/100000)</f>
        <v/>
      </c>
      <c r="L12" s="0" t="str">
        <f aca="false">IF($A12="","",RANK(K12,$K$2:$K$18,0))</f>
        <v/>
      </c>
      <c r="N12" s="7" t="str">
        <f aca="false">IF((ROW()-1)&lt;=COUNTA(Equipos!$A$2:$A$18),ROW()-1,"")</f>
        <v/>
      </c>
      <c r="O12" s="8" t="str">
        <f aca="false">IFERROR(INDEX($A$2:$A$18,MATCH($N12,$L$2:$L$18,0)),"")</f>
        <v/>
      </c>
      <c r="P12" s="9" t="str">
        <f aca="false">IFERROR(INDEX($B$2:$B$18,MATCH($N12,$L$2:$L$18,0)),"")</f>
        <v/>
      </c>
      <c r="Q12" s="9" t="str">
        <f aca="false">IFERROR(INDEX($C$2:$C$18,MATCH($N12,$L$2:$L$18,0)),"")</f>
        <v/>
      </c>
      <c r="R12" s="9" t="str">
        <f aca="false">IFERROR(INDEX($D$2:$D$18,MATCH($N12,$L$2:$L$18,0)),"")</f>
        <v/>
      </c>
      <c r="S12" s="9" t="str">
        <f aca="false">IFERROR(INDEX($E$2:$E$18,MATCH($N12,$L$2:$L$18,0)),"")</f>
        <v/>
      </c>
      <c r="T12" s="9" t="str">
        <f aca="false">IFERROR(INDEX($F$2:$F$18,MATCH($N12,$L$2:$L$18,0)),"")</f>
        <v/>
      </c>
      <c r="U12" s="9" t="str">
        <f aca="false">IFERROR(INDEX($G$2:$G$18,MATCH($N12,$L$2:$L$18,0)),"")</f>
        <v/>
      </c>
      <c r="V12" s="9" t="str">
        <f aca="false">IFERROR(INDEX($H$2:$H$18,MATCH($N12,$L$2:$L$18,0)),"")</f>
        <v/>
      </c>
      <c r="W12" s="9" t="str">
        <f aca="false">IFERROR(INDEX($I$2:$I$18,MATCH($N12,$L$2:$L$18,0)),"")</f>
        <v/>
      </c>
    </row>
    <row r="13" customFormat="false" ht="15" hidden="false" customHeight="false" outlineLevel="0" collapsed="false">
      <c r="A13" s="0" t="str">
        <f aca="false">IF(Equipos!A13="","",Equipos!A13)</f>
        <v/>
      </c>
      <c r="B13" s="0" t="str">
        <f aca="false">IF($A13="","",COUNTIF(Detalle!$A$2:$A$201,$A13))</f>
        <v/>
      </c>
      <c r="C13" s="0" t="str">
        <f aca="false">IF($A13="","",COUNTIFS(Detalle!$A$2:$A$201,$A13,Detalle!$D$2:$D$201,"G"))</f>
        <v/>
      </c>
      <c r="D13" s="0" t="str">
        <f aca="false">IF($A13="","",COUNTIFS(Detalle!$A$2:$A$201,$A13,Detalle!$D$2:$D$201,"E"))</f>
        <v/>
      </c>
      <c r="E13" s="0" t="str">
        <f aca="false">IF($A13="","",COUNTIFS(Detalle!$A$2:$A$201,$A13,Detalle!$D$2:$D$201,"P"))</f>
        <v/>
      </c>
      <c r="F13" s="0" t="str">
        <f aca="false">IF($A13="","",SUMIFS(Detalle!$B$2:$B$201,Detalle!$A$2:$A$201,$A13))</f>
        <v/>
      </c>
      <c r="G13" s="0" t="str">
        <f aca="false">IF($A13="","",SUMIFS(Detalle!$C$2:$C$201,Detalle!$A$2:$A$201,$A13))</f>
        <v/>
      </c>
      <c r="H13" s="0" t="str">
        <f aca="false">IF($A13="","",F13-G13)</f>
        <v/>
      </c>
      <c r="I13" s="0" t="str">
        <f aca="false">IF($A13="","",SUMIFS(Detalle!$E$2:$E$201,Detalle!$A$2:$A$201,$A13))</f>
        <v/>
      </c>
      <c r="J13" s="0" t="str">
        <f aca="false">IF($A13="","",I13*1000+H13*10+F13)</f>
        <v/>
      </c>
      <c r="K13" s="0" t="str">
        <f aca="false">IF($A13="","",J13-ROW()/100000)</f>
        <v/>
      </c>
      <c r="L13" s="0" t="str">
        <f aca="false">IF($A13="","",RANK(K13,$K$2:$K$18,0))</f>
        <v/>
      </c>
      <c r="N13" s="7" t="str">
        <f aca="false">IF((ROW()-1)&lt;=COUNTA(Equipos!$A$2:$A$18),ROW()-1,"")</f>
        <v/>
      </c>
      <c r="O13" s="8" t="str">
        <f aca="false">IFERROR(INDEX($A$2:$A$18,MATCH($N13,$L$2:$L$18,0)),"")</f>
        <v/>
      </c>
      <c r="P13" s="9" t="str">
        <f aca="false">IFERROR(INDEX($B$2:$B$18,MATCH($N13,$L$2:$L$18,0)),"")</f>
        <v/>
      </c>
      <c r="Q13" s="9" t="str">
        <f aca="false">IFERROR(INDEX($C$2:$C$18,MATCH($N13,$L$2:$L$18,0)),"")</f>
        <v/>
      </c>
      <c r="R13" s="9" t="str">
        <f aca="false">IFERROR(INDEX($D$2:$D$18,MATCH($N13,$L$2:$L$18,0)),"")</f>
        <v/>
      </c>
      <c r="S13" s="9" t="str">
        <f aca="false">IFERROR(INDEX($E$2:$E$18,MATCH($N13,$L$2:$L$18,0)),"")</f>
        <v/>
      </c>
      <c r="T13" s="9" t="str">
        <f aca="false">IFERROR(INDEX($F$2:$F$18,MATCH($N13,$L$2:$L$18,0)),"")</f>
        <v/>
      </c>
      <c r="U13" s="9" t="str">
        <f aca="false">IFERROR(INDEX($G$2:$G$18,MATCH($N13,$L$2:$L$18,0)),"")</f>
        <v/>
      </c>
      <c r="V13" s="9" t="str">
        <f aca="false">IFERROR(INDEX($H$2:$H$18,MATCH($N13,$L$2:$L$18,0)),"")</f>
        <v/>
      </c>
      <c r="W13" s="9" t="str">
        <f aca="false">IFERROR(INDEX($I$2:$I$18,MATCH($N13,$L$2:$L$18,0)),"")</f>
        <v/>
      </c>
    </row>
    <row r="14" customFormat="false" ht="15" hidden="false" customHeight="false" outlineLevel="0" collapsed="false">
      <c r="A14" s="0" t="str">
        <f aca="false">IF(Equipos!A14="","",Equipos!A14)</f>
        <v/>
      </c>
      <c r="B14" s="0" t="str">
        <f aca="false">IF($A14="","",COUNTIF(Detalle!$A$2:$A$201,$A14))</f>
        <v/>
      </c>
      <c r="C14" s="0" t="str">
        <f aca="false">IF($A14="","",COUNTIFS(Detalle!$A$2:$A$201,$A14,Detalle!$D$2:$D$201,"G"))</f>
        <v/>
      </c>
      <c r="D14" s="0" t="str">
        <f aca="false">IF($A14="","",COUNTIFS(Detalle!$A$2:$A$201,$A14,Detalle!$D$2:$D$201,"E"))</f>
        <v/>
      </c>
      <c r="E14" s="0" t="str">
        <f aca="false">IF($A14="","",COUNTIFS(Detalle!$A$2:$A$201,$A14,Detalle!$D$2:$D$201,"P"))</f>
        <v/>
      </c>
      <c r="F14" s="0" t="str">
        <f aca="false">IF($A14="","",SUMIFS(Detalle!$B$2:$B$201,Detalle!$A$2:$A$201,$A14))</f>
        <v/>
      </c>
      <c r="G14" s="0" t="str">
        <f aca="false">IF($A14="","",SUMIFS(Detalle!$C$2:$C$201,Detalle!$A$2:$A$201,$A14))</f>
        <v/>
      </c>
      <c r="H14" s="0" t="str">
        <f aca="false">IF($A14="","",F14-G14)</f>
        <v/>
      </c>
      <c r="I14" s="0" t="str">
        <f aca="false">IF($A14="","",SUMIFS(Detalle!$E$2:$E$201,Detalle!$A$2:$A$201,$A14))</f>
        <v/>
      </c>
      <c r="J14" s="0" t="str">
        <f aca="false">IF($A14="","",I14*1000+H14*10+F14)</f>
        <v/>
      </c>
      <c r="K14" s="0" t="str">
        <f aca="false">IF($A14="","",J14-ROW()/100000)</f>
        <v/>
      </c>
      <c r="L14" s="0" t="str">
        <f aca="false">IF($A14="","",RANK(K14,$K$2:$K$18,0))</f>
        <v/>
      </c>
      <c r="N14" s="7" t="str">
        <f aca="false">IF((ROW()-1)&lt;=COUNTA(Equipos!$A$2:$A$18),ROW()-1,"")</f>
        <v/>
      </c>
      <c r="O14" s="8" t="str">
        <f aca="false">IFERROR(INDEX($A$2:$A$18,MATCH($N14,$L$2:$L$18,0)),"")</f>
        <v/>
      </c>
      <c r="P14" s="9" t="str">
        <f aca="false">IFERROR(INDEX($B$2:$B$18,MATCH($N14,$L$2:$L$18,0)),"")</f>
        <v/>
      </c>
      <c r="Q14" s="9" t="str">
        <f aca="false">IFERROR(INDEX($C$2:$C$18,MATCH($N14,$L$2:$L$18,0)),"")</f>
        <v/>
      </c>
      <c r="R14" s="9" t="str">
        <f aca="false">IFERROR(INDEX($D$2:$D$18,MATCH($N14,$L$2:$L$18,0)),"")</f>
        <v/>
      </c>
      <c r="S14" s="9" t="str">
        <f aca="false">IFERROR(INDEX($E$2:$E$18,MATCH($N14,$L$2:$L$18,0)),"")</f>
        <v/>
      </c>
      <c r="T14" s="9" t="str">
        <f aca="false">IFERROR(INDEX($F$2:$F$18,MATCH($N14,$L$2:$L$18,0)),"")</f>
        <v/>
      </c>
      <c r="U14" s="9" t="str">
        <f aca="false">IFERROR(INDEX($G$2:$G$18,MATCH($N14,$L$2:$L$18,0)),"")</f>
        <v/>
      </c>
      <c r="V14" s="9" t="str">
        <f aca="false">IFERROR(INDEX($H$2:$H$18,MATCH($N14,$L$2:$L$18,0)),"")</f>
        <v/>
      </c>
      <c r="W14" s="9" t="str">
        <f aca="false">IFERROR(INDEX($I$2:$I$18,MATCH($N14,$L$2:$L$18,0)),"")</f>
        <v/>
      </c>
    </row>
    <row r="15" customFormat="false" ht="15" hidden="false" customHeight="false" outlineLevel="0" collapsed="false">
      <c r="A15" s="0" t="str">
        <f aca="false">IF(Equipos!A15="","",Equipos!A15)</f>
        <v/>
      </c>
      <c r="B15" s="0" t="str">
        <f aca="false">IF($A15="","",COUNTIF(Detalle!$A$2:$A$201,$A15))</f>
        <v/>
      </c>
      <c r="C15" s="0" t="str">
        <f aca="false">IF($A15="","",COUNTIFS(Detalle!$A$2:$A$201,$A15,Detalle!$D$2:$D$201,"G"))</f>
        <v/>
      </c>
      <c r="D15" s="0" t="str">
        <f aca="false">IF($A15="","",COUNTIFS(Detalle!$A$2:$A$201,$A15,Detalle!$D$2:$D$201,"E"))</f>
        <v/>
      </c>
      <c r="E15" s="0" t="str">
        <f aca="false">IF($A15="","",COUNTIFS(Detalle!$A$2:$A$201,$A15,Detalle!$D$2:$D$201,"P"))</f>
        <v/>
      </c>
      <c r="F15" s="0" t="str">
        <f aca="false">IF($A15="","",SUMIFS(Detalle!$B$2:$B$201,Detalle!$A$2:$A$201,$A15))</f>
        <v/>
      </c>
      <c r="G15" s="0" t="str">
        <f aca="false">IF($A15="","",SUMIFS(Detalle!$C$2:$C$201,Detalle!$A$2:$A$201,$A15))</f>
        <v/>
      </c>
      <c r="H15" s="0" t="str">
        <f aca="false">IF($A15="","",F15-G15)</f>
        <v/>
      </c>
      <c r="I15" s="0" t="str">
        <f aca="false">IF($A15="","",SUMIFS(Detalle!$E$2:$E$201,Detalle!$A$2:$A$201,$A15))</f>
        <v/>
      </c>
      <c r="J15" s="0" t="str">
        <f aca="false">IF($A15="","",I15*1000+H15*10+F15)</f>
        <v/>
      </c>
      <c r="K15" s="0" t="str">
        <f aca="false">IF($A15="","",J15-ROW()/100000)</f>
        <v/>
      </c>
      <c r="L15" s="0" t="str">
        <f aca="false">IF($A15="","",RANK(K15,$K$2:$K$18,0))</f>
        <v/>
      </c>
      <c r="N15" s="7" t="str">
        <f aca="false">IF((ROW()-1)&lt;=COUNTA(Equipos!$A$2:$A$18),ROW()-1,"")</f>
        <v/>
      </c>
      <c r="O15" s="8" t="str">
        <f aca="false">IFERROR(INDEX($A$2:$A$18,MATCH($N15,$L$2:$L$18,0)),"")</f>
        <v/>
      </c>
      <c r="P15" s="9" t="str">
        <f aca="false">IFERROR(INDEX($B$2:$B$18,MATCH($N15,$L$2:$L$18,0)),"")</f>
        <v/>
      </c>
      <c r="Q15" s="9" t="str">
        <f aca="false">IFERROR(INDEX($C$2:$C$18,MATCH($N15,$L$2:$L$18,0)),"")</f>
        <v/>
      </c>
      <c r="R15" s="9" t="str">
        <f aca="false">IFERROR(INDEX($D$2:$D$18,MATCH($N15,$L$2:$L$18,0)),"")</f>
        <v/>
      </c>
      <c r="S15" s="9" t="str">
        <f aca="false">IFERROR(INDEX($E$2:$E$18,MATCH($N15,$L$2:$L$18,0)),"")</f>
        <v/>
      </c>
      <c r="T15" s="9" t="str">
        <f aca="false">IFERROR(INDEX($F$2:$F$18,MATCH($N15,$L$2:$L$18,0)),"")</f>
        <v/>
      </c>
      <c r="U15" s="9" t="str">
        <f aca="false">IFERROR(INDEX($G$2:$G$18,MATCH($N15,$L$2:$L$18,0)),"")</f>
        <v/>
      </c>
      <c r="V15" s="9" t="str">
        <f aca="false">IFERROR(INDEX($H$2:$H$18,MATCH($N15,$L$2:$L$18,0)),"")</f>
        <v/>
      </c>
      <c r="W15" s="9" t="str">
        <f aca="false">IFERROR(INDEX($I$2:$I$18,MATCH($N15,$L$2:$L$18,0)),"")</f>
        <v/>
      </c>
    </row>
    <row r="16" customFormat="false" ht="15" hidden="false" customHeight="false" outlineLevel="0" collapsed="false">
      <c r="A16" s="0" t="str">
        <f aca="false">IF(Equipos!A16="","",Equipos!A16)</f>
        <v/>
      </c>
      <c r="B16" s="0" t="str">
        <f aca="false">IF($A16="","",COUNTIF(Detalle!$A$2:$A$201,$A16))</f>
        <v/>
      </c>
      <c r="C16" s="0" t="str">
        <f aca="false">IF($A16="","",COUNTIFS(Detalle!$A$2:$A$201,$A16,Detalle!$D$2:$D$201,"G"))</f>
        <v/>
      </c>
      <c r="D16" s="0" t="str">
        <f aca="false">IF($A16="","",COUNTIFS(Detalle!$A$2:$A$201,$A16,Detalle!$D$2:$D$201,"E"))</f>
        <v/>
      </c>
      <c r="E16" s="0" t="str">
        <f aca="false">IF($A16="","",COUNTIFS(Detalle!$A$2:$A$201,$A16,Detalle!$D$2:$D$201,"P"))</f>
        <v/>
      </c>
      <c r="F16" s="0" t="str">
        <f aca="false">IF($A16="","",SUMIFS(Detalle!$B$2:$B$201,Detalle!$A$2:$A$201,$A16))</f>
        <v/>
      </c>
      <c r="G16" s="0" t="str">
        <f aca="false">IF($A16="","",SUMIFS(Detalle!$C$2:$C$201,Detalle!$A$2:$A$201,$A16))</f>
        <v/>
      </c>
      <c r="H16" s="0" t="str">
        <f aca="false">IF($A16="","",F16-G16)</f>
        <v/>
      </c>
      <c r="I16" s="0" t="str">
        <f aca="false">IF($A16="","",SUMIFS(Detalle!$E$2:$E$201,Detalle!$A$2:$A$201,$A16))</f>
        <v/>
      </c>
      <c r="J16" s="0" t="str">
        <f aca="false">IF($A16="","",I16*1000+H16*10+F16)</f>
        <v/>
      </c>
      <c r="K16" s="0" t="str">
        <f aca="false">IF($A16="","",J16-ROW()/100000)</f>
        <v/>
      </c>
      <c r="L16" s="0" t="str">
        <f aca="false">IF($A16="","",RANK(K16,$K$2:$K$18,0))</f>
        <v/>
      </c>
      <c r="N16" s="7" t="str">
        <f aca="false">IF((ROW()-1)&lt;=COUNTA(Equipos!$A$2:$A$18),ROW()-1,"")</f>
        <v/>
      </c>
      <c r="O16" s="8" t="str">
        <f aca="false">IFERROR(INDEX($A$2:$A$18,MATCH($N16,$L$2:$L$18,0)),"")</f>
        <v/>
      </c>
      <c r="P16" s="9" t="str">
        <f aca="false">IFERROR(INDEX($B$2:$B$18,MATCH($N16,$L$2:$L$18,0)),"")</f>
        <v/>
      </c>
      <c r="Q16" s="9" t="str">
        <f aca="false">IFERROR(INDEX($C$2:$C$18,MATCH($N16,$L$2:$L$18,0)),"")</f>
        <v/>
      </c>
      <c r="R16" s="9" t="str">
        <f aca="false">IFERROR(INDEX($D$2:$D$18,MATCH($N16,$L$2:$L$18,0)),"")</f>
        <v/>
      </c>
      <c r="S16" s="9" t="str">
        <f aca="false">IFERROR(INDEX($E$2:$E$18,MATCH($N16,$L$2:$L$18,0)),"")</f>
        <v/>
      </c>
      <c r="T16" s="9" t="str">
        <f aca="false">IFERROR(INDEX($F$2:$F$18,MATCH($N16,$L$2:$L$18,0)),"")</f>
        <v/>
      </c>
      <c r="U16" s="9" t="str">
        <f aca="false">IFERROR(INDEX($G$2:$G$18,MATCH($N16,$L$2:$L$18,0)),"")</f>
        <v/>
      </c>
      <c r="V16" s="9" t="str">
        <f aca="false">IFERROR(INDEX($H$2:$H$18,MATCH($N16,$L$2:$L$18,0)),"")</f>
        <v/>
      </c>
      <c r="W16" s="9" t="str">
        <f aca="false">IFERROR(INDEX($I$2:$I$18,MATCH($N16,$L$2:$L$18,0)),"")</f>
        <v/>
      </c>
    </row>
    <row r="17" customFormat="false" ht="15" hidden="false" customHeight="false" outlineLevel="0" collapsed="false">
      <c r="A17" s="0" t="str">
        <f aca="false">IF(Equipos!A17="","",Equipos!A17)</f>
        <v/>
      </c>
      <c r="B17" s="0" t="str">
        <f aca="false">IF($A17="","",COUNTIF(Detalle!$A$2:$A$201,$A17))</f>
        <v/>
      </c>
      <c r="C17" s="0" t="str">
        <f aca="false">IF($A17="","",COUNTIFS(Detalle!$A$2:$A$201,$A17,Detalle!$D$2:$D$201,"G"))</f>
        <v/>
      </c>
      <c r="D17" s="0" t="str">
        <f aca="false">IF($A17="","",COUNTIFS(Detalle!$A$2:$A$201,$A17,Detalle!$D$2:$D$201,"E"))</f>
        <v/>
      </c>
      <c r="E17" s="0" t="str">
        <f aca="false">IF($A17="","",COUNTIFS(Detalle!$A$2:$A$201,$A17,Detalle!$D$2:$D$201,"P"))</f>
        <v/>
      </c>
      <c r="F17" s="0" t="str">
        <f aca="false">IF($A17="","",SUMIFS(Detalle!$B$2:$B$201,Detalle!$A$2:$A$201,$A17))</f>
        <v/>
      </c>
      <c r="G17" s="0" t="str">
        <f aca="false">IF($A17="","",SUMIFS(Detalle!$C$2:$C$201,Detalle!$A$2:$A$201,$A17))</f>
        <v/>
      </c>
      <c r="H17" s="0" t="str">
        <f aca="false">IF($A17="","",F17-G17)</f>
        <v/>
      </c>
      <c r="I17" s="0" t="str">
        <f aca="false">IF($A17="","",SUMIFS(Detalle!$E$2:$E$201,Detalle!$A$2:$A$201,$A17))</f>
        <v/>
      </c>
      <c r="J17" s="0" t="str">
        <f aca="false">IF($A17="","",I17*1000+H17*10+F17)</f>
        <v/>
      </c>
      <c r="K17" s="0" t="str">
        <f aca="false">IF($A17="","",J17-ROW()/100000)</f>
        <v/>
      </c>
      <c r="L17" s="0" t="str">
        <f aca="false">IF($A17="","",RANK(K17,$K$2:$K$18,0))</f>
        <v/>
      </c>
      <c r="N17" s="7" t="str">
        <f aca="false">IF((ROW()-1)&lt;=COUNTA(Equipos!$A$2:$A$18),ROW()-1,"")</f>
        <v/>
      </c>
      <c r="O17" s="8" t="str">
        <f aca="false">IFERROR(INDEX($A$2:$A$18,MATCH($N17,$L$2:$L$18,0)),"")</f>
        <v/>
      </c>
      <c r="P17" s="9" t="str">
        <f aca="false">IFERROR(INDEX($B$2:$B$18,MATCH($N17,$L$2:$L$18,0)),"")</f>
        <v/>
      </c>
      <c r="Q17" s="9" t="str">
        <f aca="false">IFERROR(INDEX($C$2:$C$18,MATCH($N17,$L$2:$L$18,0)),"")</f>
        <v/>
      </c>
      <c r="R17" s="9" t="str">
        <f aca="false">IFERROR(INDEX($D$2:$D$18,MATCH($N17,$L$2:$L$18,0)),"")</f>
        <v/>
      </c>
      <c r="S17" s="9" t="str">
        <f aca="false">IFERROR(INDEX($E$2:$E$18,MATCH($N17,$L$2:$L$18,0)),"")</f>
        <v/>
      </c>
      <c r="T17" s="9" t="str">
        <f aca="false">IFERROR(INDEX($F$2:$F$18,MATCH($N17,$L$2:$L$18,0)),"")</f>
        <v/>
      </c>
      <c r="U17" s="9" t="str">
        <f aca="false">IFERROR(INDEX($G$2:$G$18,MATCH($N17,$L$2:$L$18,0)),"")</f>
        <v/>
      </c>
      <c r="V17" s="9" t="str">
        <f aca="false">IFERROR(INDEX($H$2:$H$18,MATCH($N17,$L$2:$L$18,0)),"")</f>
        <v/>
      </c>
      <c r="W17" s="9" t="str">
        <f aca="false">IFERROR(INDEX($I$2:$I$18,MATCH($N17,$L$2:$L$18,0)),"")</f>
        <v/>
      </c>
    </row>
    <row r="18" customFormat="false" ht="15" hidden="false" customHeight="false" outlineLevel="0" collapsed="false">
      <c r="A18" s="0" t="str">
        <f aca="false">IF(Equipos!A18="","",Equipos!A18)</f>
        <v/>
      </c>
      <c r="B18" s="0" t="str">
        <f aca="false">IF($A18="","",COUNTIF(Detalle!$A$2:$A$201,$A18))</f>
        <v/>
      </c>
      <c r="C18" s="0" t="str">
        <f aca="false">IF($A18="","",COUNTIFS(Detalle!$A$2:$A$201,$A18,Detalle!$D$2:$D$201,"G"))</f>
        <v/>
      </c>
      <c r="D18" s="0" t="str">
        <f aca="false">IF($A18="","",COUNTIFS(Detalle!$A$2:$A$201,$A18,Detalle!$D$2:$D$201,"E"))</f>
        <v/>
      </c>
      <c r="E18" s="0" t="str">
        <f aca="false">IF($A18="","",COUNTIFS(Detalle!$A$2:$A$201,$A18,Detalle!$D$2:$D$201,"P"))</f>
        <v/>
      </c>
      <c r="F18" s="0" t="str">
        <f aca="false">IF($A18="","",SUMIFS(Detalle!$B$2:$B$201,Detalle!$A$2:$A$201,$A18))</f>
        <v/>
      </c>
      <c r="G18" s="0" t="str">
        <f aca="false">IF($A18="","",SUMIFS(Detalle!$C$2:$C$201,Detalle!$A$2:$A$201,$A18))</f>
        <v/>
      </c>
      <c r="H18" s="0" t="str">
        <f aca="false">IF($A18="","",F18-G18)</f>
        <v/>
      </c>
      <c r="I18" s="0" t="str">
        <f aca="false">IF($A18="","",SUMIFS(Detalle!$E$2:$E$201,Detalle!$A$2:$A$201,$A18))</f>
        <v/>
      </c>
      <c r="J18" s="0" t="str">
        <f aca="false">IF($A18="","",I18*1000+H18*10+F18)</f>
        <v/>
      </c>
      <c r="K18" s="0" t="str">
        <f aca="false">IF($A18="","",J18-ROW()/100000)</f>
        <v/>
      </c>
      <c r="L18" s="0" t="str">
        <f aca="false">IF($A18="","",RANK(K18,$K$2:$K$18,0))</f>
        <v/>
      </c>
      <c r="N18" s="7" t="str">
        <f aca="false">IF((ROW()-1)&lt;=COUNTA(Equipos!$A$2:$A$18),ROW()-1,"")</f>
        <v/>
      </c>
      <c r="O18" s="8" t="str">
        <f aca="false">IFERROR(INDEX($A$2:$A$18,MATCH($N18,$L$2:$L$18,0)),"")</f>
        <v/>
      </c>
      <c r="P18" s="9" t="str">
        <f aca="false">IFERROR(INDEX($B$2:$B$18,MATCH($N18,$L$2:$L$18,0)),"")</f>
        <v/>
      </c>
      <c r="Q18" s="9" t="str">
        <f aca="false">IFERROR(INDEX($C$2:$C$18,MATCH($N18,$L$2:$L$18,0)),"")</f>
        <v/>
      </c>
      <c r="R18" s="9" t="str">
        <f aca="false">IFERROR(INDEX($D$2:$D$18,MATCH($N18,$L$2:$L$18,0)),"")</f>
        <v/>
      </c>
      <c r="S18" s="9" t="str">
        <f aca="false">IFERROR(INDEX($E$2:$E$18,MATCH($N18,$L$2:$L$18,0)),"")</f>
        <v/>
      </c>
      <c r="T18" s="9" t="str">
        <f aca="false">IFERROR(INDEX($F$2:$F$18,MATCH($N18,$L$2:$L$18,0)),"")</f>
        <v/>
      </c>
      <c r="U18" s="9" t="str">
        <f aca="false">IFERROR(INDEX($G$2:$G$18,MATCH($N18,$L$2:$L$18,0)),"")</f>
        <v/>
      </c>
      <c r="V18" s="9" t="str">
        <f aca="false">IFERROR(INDEX($H$2:$H$18,MATCH($N18,$L$2:$L$18,0)),"")</f>
        <v/>
      </c>
      <c r="W18" s="9" t="str">
        <f aca="false">IFERROR(INDEX($I$2:$I$18,MATCH($N18,$L$2:$L$18,0)),"")</f>
        <v/>
      </c>
    </row>
    <row r="20" customFormat="false" ht="15" hidden="false" customHeight="false" outlineLevel="0" collapsed="false">
      <c r="N20" s="4" t="s">
        <v>39</v>
      </c>
      <c r="O20" s="4"/>
      <c r="P20" s="4"/>
      <c r="Q20" s="4"/>
      <c r="R20" s="4"/>
      <c r="S20" s="4"/>
      <c r="T20" s="4"/>
      <c r="U20" s="4"/>
      <c r="V20" s="4"/>
      <c r="W20" s="4"/>
    </row>
  </sheetData>
  <mergeCells count="1">
    <mergeCell ref="N20:W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2026-08-18T00:35:55Z</dcterms:created>
  <dc:creator>openpyxl</dc:creator>
  <dc:description/>
  <dc:language>en-US</dc:language>
  <cp:lastModifiedBy/>
  <dcterms:modified xsi:type="dcterms:W3CDTF">2026-08-18T00:35:55Z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